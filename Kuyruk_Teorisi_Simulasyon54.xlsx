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olka\Downloads\"/>
    </mc:Choice>
  </mc:AlternateContent>
  <xr:revisionPtr revIDLastSave="0" documentId="13_ncr:1_{989B6AB9-664A-4476-B4C4-8B6CFD17C7D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Kuyruk_Simulasyo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 s="1"/>
  <c r="B21" i="1"/>
  <c r="C21" i="1" s="1"/>
  <c r="H20" i="1"/>
  <c r="I20" i="1" s="1"/>
  <c r="B20" i="1"/>
  <c r="C20" i="1" s="1"/>
  <c r="H19" i="1"/>
  <c r="I19" i="1" s="1"/>
  <c r="B19" i="1"/>
  <c r="C19" i="1" s="1"/>
  <c r="H18" i="1"/>
  <c r="I18" i="1" s="1"/>
  <c r="B18" i="1"/>
  <c r="C18" i="1" s="1"/>
  <c r="H17" i="1"/>
  <c r="I17" i="1" s="1"/>
  <c r="B17" i="1"/>
  <c r="C17" i="1" s="1"/>
  <c r="H16" i="1"/>
  <c r="I16" i="1" s="1"/>
  <c r="B16" i="1"/>
  <c r="C16" i="1" s="1"/>
  <c r="H15" i="1"/>
  <c r="I15" i="1" s="1"/>
  <c r="B15" i="1"/>
  <c r="C15" i="1" s="1"/>
  <c r="H14" i="1"/>
  <c r="I14" i="1" s="1"/>
  <c r="B14" i="1"/>
  <c r="C14" i="1" s="1"/>
  <c r="H13" i="1"/>
  <c r="I13" i="1" s="1"/>
  <c r="B13" i="1"/>
  <c r="C13" i="1" s="1"/>
  <c r="H12" i="1"/>
  <c r="I12" i="1" s="1"/>
  <c r="B12" i="1"/>
  <c r="C12" i="1" s="1"/>
  <c r="H11" i="1"/>
  <c r="I11" i="1" s="1"/>
  <c r="B11" i="1"/>
  <c r="C11" i="1" s="1"/>
  <c r="H10" i="1"/>
  <c r="I10" i="1" s="1"/>
  <c r="B10" i="1"/>
  <c r="C10" i="1" s="1"/>
  <c r="H9" i="1"/>
  <c r="I9" i="1" s="1"/>
  <c r="B9" i="1"/>
  <c r="C9" i="1" s="1"/>
  <c r="H8" i="1"/>
  <c r="I8" i="1" s="1"/>
  <c r="B8" i="1"/>
  <c r="C8" i="1" s="1"/>
  <c r="H7" i="1"/>
  <c r="I7" i="1" s="1"/>
  <c r="B7" i="1"/>
  <c r="C7" i="1" s="1"/>
  <c r="H6" i="1"/>
  <c r="I6" i="1" s="1"/>
  <c r="B6" i="1"/>
  <c r="C6" i="1" s="1"/>
  <c r="H5" i="1"/>
  <c r="I5" i="1" s="1"/>
  <c r="B5" i="1"/>
  <c r="C5" i="1" s="1"/>
  <c r="H4" i="1"/>
  <c r="I4" i="1" s="1"/>
  <c r="B4" i="1"/>
  <c r="C4" i="1" s="1"/>
  <c r="H3" i="1"/>
  <c r="I3" i="1" s="1"/>
  <c r="B3" i="1"/>
  <c r="C3" i="1" s="1"/>
  <c r="H2" i="1"/>
  <c r="I2" i="1" s="1"/>
  <c r="B2" i="1"/>
  <c r="C2" i="1" s="1"/>
  <c r="D2" i="1" s="1"/>
  <c r="I22" i="1" l="1"/>
  <c r="G2" i="1"/>
  <c r="D3" i="1"/>
  <c r="E2" i="1"/>
  <c r="F2" i="1" l="1"/>
  <c r="J2" i="1"/>
  <c r="K2" i="1" s="1"/>
  <c r="D4" i="1"/>
  <c r="E3" i="1" l="1"/>
  <c r="J3" i="1" s="1"/>
  <c r="K3" i="1" s="1"/>
  <c r="D5" i="1"/>
  <c r="G3" i="1"/>
  <c r="F3" i="1" l="1"/>
  <c r="G4" i="1"/>
  <c r="D6" i="1"/>
  <c r="E4" i="1"/>
  <c r="J4" i="1" l="1"/>
  <c r="F4" i="1"/>
  <c r="D7" i="1"/>
  <c r="D8" i="1" l="1"/>
  <c r="K4" i="1"/>
  <c r="E5" i="1"/>
  <c r="G5" i="1"/>
  <c r="D9" i="1" l="1"/>
  <c r="J5" i="1"/>
  <c r="F5" i="1"/>
  <c r="D10" i="1" l="1"/>
  <c r="K5" i="1"/>
  <c r="E6" i="1"/>
  <c r="G6" i="1"/>
  <c r="F6" i="1" l="1"/>
  <c r="J6" i="1"/>
  <c r="D11" i="1"/>
  <c r="D12" i="1" l="1"/>
  <c r="K6" i="1"/>
  <c r="G7" i="1"/>
  <c r="E7" i="1"/>
  <c r="F7" i="1" l="1"/>
  <c r="J7" i="1"/>
  <c r="D13" i="1"/>
  <c r="D14" i="1" l="1"/>
  <c r="K7" i="1"/>
  <c r="E8" i="1"/>
  <c r="G8" i="1"/>
  <c r="J8" i="1" l="1"/>
  <c r="F8" i="1"/>
  <c r="D15" i="1"/>
  <c r="K8" i="1" l="1"/>
  <c r="E9" i="1"/>
  <c r="G9" i="1"/>
  <c r="D16" i="1"/>
  <c r="D17" i="1" l="1"/>
  <c r="J9" i="1"/>
  <c r="F9" i="1"/>
  <c r="K9" i="1" l="1"/>
  <c r="G10" i="1"/>
  <c r="E10" i="1"/>
  <c r="D18" i="1"/>
  <c r="D19" i="1" l="1"/>
  <c r="F10" i="1"/>
  <c r="J10" i="1"/>
  <c r="K10" i="1" l="1"/>
  <c r="G11" i="1"/>
  <c r="E11" i="1"/>
  <c r="D20" i="1"/>
  <c r="D21" i="1" l="1"/>
  <c r="F11" i="1"/>
  <c r="J11" i="1"/>
  <c r="K11" i="1" l="1"/>
  <c r="E12" i="1"/>
  <c r="G12" i="1"/>
  <c r="J12" i="1" l="1"/>
  <c r="F12" i="1"/>
  <c r="K12" i="1" l="1"/>
  <c r="E13" i="1"/>
  <c r="G13" i="1"/>
  <c r="J13" i="1" l="1"/>
  <c r="F13" i="1"/>
  <c r="K13" i="1" l="1"/>
  <c r="G14" i="1"/>
  <c r="E14" i="1"/>
  <c r="F14" i="1" l="1"/>
  <c r="J14" i="1"/>
  <c r="K14" i="1" l="1"/>
  <c r="E15" i="1"/>
  <c r="G15" i="1"/>
  <c r="F15" i="1" l="1"/>
  <c r="J15" i="1"/>
  <c r="K15" i="1" l="1"/>
  <c r="G16" i="1"/>
  <c r="E16" i="1"/>
  <c r="J16" i="1" l="1"/>
  <c r="F16" i="1"/>
  <c r="K16" i="1" l="1"/>
  <c r="E17" i="1"/>
  <c r="G17" i="1"/>
  <c r="J17" i="1" l="1"/>
  <c r="F17" i="1"/>
  <c r="K17" i="1" l="1"/>
  <c r="G18" i="1"/>
  <c r="E18" i="1"/>
  <c r="F18" i="1" l="1"/>
  <c r="J18" i="1"/>
  <c r="K18" i="1" l="1"/>
  <c r="E19" i="1"/>
  <c r="G19" i="1"/>
  <c r="F19" i="1" l="1"/>
  <c r="J19" i="1"/>
  <c r="K19" i="1" l="1"/>
  <c r="E20" i="1"/>
  <c r="G20" i="1"/>
  <c r="J20" i="1" l="1"/>
  <c r="F20" i="1"/>
  <c r="K20" i="1" l="1"/>
  <c r="E21" i="1"/>
  <c r="G21" i="1"/>
  <c r="J21" i="1" l="1"/>
  <c r="F26" i="1" s="1"/>
  <c r="F28" i="1" s="1"/>
  <c r="F21" i="1"/>
  <c r="K21" i="1" l="1"/>
  <c r="F23" i="1" s="1"/>
</calcChain>
</file>

<file path=xl/sharedStrings.xml><?xml version="1.0" encoding="utf-8"?>
<sst xmlns="http://schemas.openxmlformats.org/spreadsheetml/2006/main" count="14" uniqueCount="14">
  <si>
    <t>Parça No</t>
  </si>
  <si>
    <t>Rassal Sayı r1</t>
  </si>
  <si>
    <t>Varışlar Arası Zaman</t>
  </si>
  <si>
    <t>Varış Zamanı</t>
  </si>
  <si>
    <t>İşleme Başlama</t>
  </si>
  <si>
    <t>Bekleme Süresi</t>
  </si>
  <si>
    <t>Makine Boş Kalma</t>
  </si>
  <si>
    <t>Rassal Sayı r2</t>
  </si>
  <si>
    <t>Hizmet Süresi</t>
  </si>
  <si>
    <t>İş Bitimi</t>
  </si>
  <si>
    <t>Sistemde Geçen Süre</t>
  </si>
  <si>
    <t>parçanın sistemde geçirdiği ortalama süre</t>
  </si>
  <si>
    <t>Makinenin Doluluk Yüzdesi</t>
  </si>
  <si>
    <t>Makinenin Boş Kalma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</si>
</sst>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A7" workbookViewId="0">
      <selection activeCell="L29" sqref="L2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f t="shared" ref="B2:B21" ca="1" si="0">RANDBETWEEN(0,99)</f>
        <v>51</v>
      </c>
      <c r="C2">
        <f t="shared" ref="C2:C21" ca="1" si="1">IF(B2&lt;40,6,IF(B2&lt;70,8,10))</f>
        <v>8</v>
      </c>
      <c r="D2">
        <f t="shared" ref="D2:D21" ca="1" si="2">IF(A2=1,C2,D1+C2)</f>
        <v>8</v>
      </c>
      <c r="E2">
        <f t="shared" ref="E2:E21" ca="1" si="3">IF(A2=1,D2,MAX(D2,J1))</f>
        <v>8</v>
      </c>
      <c r="F2">
        <f t="shared" ref="F2:F21" ca="1" si="4">E2-D2</f>
        <v>0</v>
      </c>
      <c r="G2" t="e">
        <f t="shared" ref="G2:G21" ca="1" si="5">MAX(0,D2-J1)</f>
        <v>#VALUE!</v>
      </c>
      <c r="H2">
        <f t="shared" ref="H2:H21" ca="1" si="6">RANDBETWEEN(0,99)</f>
        <v>83</v>
      </c>
      <c r="I2">
        <f t="shared" ref="I2:I21" ca="1" si="7">IF(H2&lt;40,6,IF(H2&lt;70,8,10))</f>
        <v>10</v>
      </c>
      <c r="J2">
        <f t="shared" ref="J2:J21" ca="1" si="8">E2+I2</f>
        <v>18</v>
      </c>
      <c r="K2">
        <f t="shared" ref="K2:K21" ca="1" si="9">J2-D2</f>
        <v>10</v>
      </c>
    </row>
    <row r="3" spans="1:11" x14ac:dyDescent="0.3">
      <c r="A3">
        <v>2</v>
      </c>
      <c r="B3">
        <f t="shared" ca="1" si="0"/>
        <v>55</v>
      </c>
      <c r="C3">
        <f t="shared" ca="1" si="1"/>
        <v>8</v>
      </c>
      <c r="D3">
        <f t="shared" ca="1" si="2"/>
        <v>16</v>
      </c>
      <c r="E3">
        <f t="shared" ca="1" si="3"/>
        <v>18</v>
      </c>
      <c r="F3">
        <f t="shared" ca="1" si="4"/>
        <v>2</v>
      </c>
      <c r="G3">
        <f t="shared" ca="1" si="5"/>
        <v>0</v>
      </c>
      <c r="H3">
        <f t="shared" ca="1" si="6"/>
        <v>94</v>
      </c>
      <c r="I3">
        <f t="shared" ca="1" si="7"/>
        <v>10</v>
      </c>
      <c r="J3">
        <f t="shared" ca="1" si="8"/>
        <v>28</v>
      </c>
      <c r="K3">
        <f t="shared" ca="1" si="9"/>
        <v>12</v>
      </c>
    </row>
    <row r="4" spans="1:11" x14ac:dyDescent="0.3">
      <c r="A4">
        <v>3</v>
      </c>
      <c r="B4">
        <f t="shared" ca="1" si="0"/>
        <v>34</v>
      </c>
      <c r="C4">
        <f t="shared" ca="1" si="1"/>
        <v>6</v>
      </c>
      <c r="D4">
        <f t="shared" ca="1" si="2"/>
        <v>22</v>
      </c>
      <c r="E4">
        <f t="shared" ca="1" si="3"/>
        <v>28</v>
      </c>
      <c r="F4">
        <f t="shared" ca="1" si="4"/>
        <v>6</v>
      </c>
      <c r="G4">
        <f t="shared" ca="1" si="5"/>
        <v>0</v>
      </c>
      <c r="H4">
        <f t="shared" ca="1" si="6"/>
        <v>16</v>
      </c>
      <c r="I4">
        <f t="shared" ca="1" si="7"/>
        <v>6</v>
      </c>
      <c r="J4">
        <f t="shared" ca="1" si="8"/>
        <v>34</v>
      </c>
      <c r="K4">
        <f t="shared" ca="1" si="9"/>
        <v>12</v>
      </c>
    </row>
    <row r="5" spans="1:11" x14ac:dyDescent="0.3">
      <c r="A5">
        <v>4</v>
      </c>
      <c r="B5">
        <f t="shared" ca="1" si="0"/>
        <v>19</v>
      </c>
      <c r="C5">
        <f t="shared" ca="1" si="1"/>
        <v>6</v>
      </c>
      <c r="D5">
        <f t="shared" ca="1" si="2"/>
        <v>28</v>
      </c>
      <c r="E5">
        <f t="shared" ca="1" si="3"/>
        <v>34</v>
      </c>
      <c r="F5">
        <f t="shared" ca="1" si="4"/>
        <v>6</v>
      </c>
      <c r="G5">
        <f t="shared" ca="1" si="5"/>
        <v>0</v>
      </c>
      <c r="H5">
        <f t="shared" ca="1" si="6"/>
        <v>27</v>
      </c>
      <c r="I5">
        <f t="shared" ca="1" si="7"/>
        <v>6</v>
      </c>
      <c r="J5">
        <f t="shared" ca="1" si="8"/>
        <v>40</v>
      </c>
      <c r="K5">
        <f t="shared" ca="1" si="9"/>
        <v>12</v>
      </c>
    </row>
    <row r="6" spans="1:11" x14ac:dyDescent="0.3">
      <c r="A6">
        <v>5</v>
      </c>
      <c r="B6">
        <f t="shared" ca="1" si="0"/>
        <v>37</v>
      </c>
      <c r="C6">
        <f t="shared" ca="1" si="1"/>
        <v>6</v>
      </c>
      <c r="D6">
        <f t="shared" ca="1" si="2"/>
        <v>34</v>
      </c>
      <c r="E6">
        <f t="shared" ca="1" si="3"/>
        <v>40</v>
      </c>
      <c r="F6">
        <f t="shared" ca="1" si="4"/>
        <v>6</v>
      </c>
      <c r="G6">
        <f t="shared" ca="1" si="5"/>
        <v>0</v>
      </c>
      <c r="H6">
        <f t="shared" ca="1" si="6"/>
        <v>18</v>
      </c>
      <c r="I6">
        <f t="shared" ca="1" si="7"/>
        <v>6</v>
      </c>
      <c r="J6">
        <f t="shared" ca="1" si="8"/>
        <v>46</v>
      </c>
      <c r="K6">
        <f t="shared" ca="1" si="9"/>
        <v>12</v>
      </c>
    </row>
    <row r="7" spans="1:11" x14ac:dyDescent="0.3">
      <c r="A7" s="1">
        <v>6</v>
      </c>
      <c r="B7" s="1">
        <f t="shared" ca="1" si="0"/>
        <v>81</v>
      </c>
      <c r="C7" s="1">
        <f t="shared" ca="1" si="1"/>
        <v>10</v>
      </c>
      <c r="D7" s="1">
        <f t="shared" ca="1" si="2"/>
        <v>44</v>
      </c>
      <c r="E7" s="1">
        <f t="shared" ca="1" si="3"/>
        <v>46</v>
      </c>
      <c r="F7" s="1">
        <f t="shared" ca="1" si="4"/>
        <v>2</v>
      </c>
      <c r="G7" s="1">
        <f t="shared" ca="1" si="5"/>
        <v>0</v>
      </c>
      <c r="H7" s="1">
        <f t="shared" ca="1" si="6"/>
        <v>31</v>
      </c>
      <c r="I7" s="1">
        <f t="shared" ca="1" si="7"/>
        <v>6</v>
      </c>
      <c r="J7" s="1">
        <f t="shared" ca="1" si="8"/>
        <v>52</v>
      </c>
      <c r="K7" s="1">
        <f t="shared" ca="1" si="9"/>
        <v>8</v>
      </c>
    </row>
    <row r="8" spans="1:11" x14ac:dyDescent="0.3">
      <c r="A8" s="1">
        <v>7</v>
      </c>
      <c r="B8" s="1">
        <f t="shared" ca="1" si="0"/>
        <v>91</v>
      </c>
      <c r="C8" s="1">
        <f t="shared" ca="1" si="1"/>
        <v>10</v>
      </c>
      <c r="D8" s="1">
        <f t="shared" ca="1" si="2"/>
        <v>54</v>
      </c>
      <c r="E8" s="1">
        <f t="shared" ca="1" si="3"/>
        <v>54</v>
      </c>
      <c r="F8" s="1">
        <f t="shared" ca="1" si="4"/>
        <v>0</v>
      </c>
      <c r="G8" s="1">
        <f t="shared" ca="1" si="5"/>
        <v>2</v>
      </c>
      <c r="H8" s="1">
        <f t="shared" ca="1" si="6"/>
        <v>44</v>
      </c>
      <c r="I8" s="1">
        <f t="shared" ca="1" si="7"/>
        <v>8</v>
      </c>
      <c r="J8" s="1">
        <f t="shared" ca="1" si="8"/>
        <v>62</v>
      </c>
      <c r="K8" s="1">
        <f t="shared" ca="1" si="9"/>
        <v>8</v>
      </c>
    </row>
    <row r="9" spans="1:11" x14ac:dyDescent="0.3">
      <c r="A9" s="1">
        <v>8</v>
      </c>
      <c r="B9" s="1">
        <f t="shared" ca="1" si="0"/>
        <v>76</v>
      </c>
      <c r="C9" s="1">
        <f t="shared" ca="1" si="1"/>
        <v>10</v>
      </c>
      <c r="D9" s="1">
        <f t="shared" ca="1" si="2"/>
        <v>64</v>
      </c>
      <c r="E9" s="1">
        <f t="shared" ca="1" si="3"/>
        <v>64</v>
      </c>
      <c r="F9" s="1">
        <f t="shared" ca="1" si="4"/>
        <v>0</v>
      </c>
      <c r="G9" s="1">
        <f t="shared" ca="1" si="5"/>
        <v>2</v>
      </c>
      <c r="H9" s="1">
        <f t="shared" ca="1" si="6"/>
        <v>32</v>
      </c>
      <c r="I9" s="1">
        <f t="shared" ca="1" si="7"/>
        <v>6</v>
      </c>
      <c r="J9" s="1">
        <f t="shared" ca="1" si="8"/>
        <v>70</v>
      </c>
      <c r="K9" s="1">
        <f t="shared" ca="1" si="9"/>
        <v>6</v>
      </c>
    </row>
    <row r="10" spans="1:11" x14ac:dyDescent="0.3">
      <c r="A10" s="1">
        <v>9</v>
      </c>
      <c r="B10" s="1">
        <f t="shared" ca="1" si="0"/>
        <v>99</v>
      </c>
      <c r="C10" s="1">
        <f t="shared" ca="1" si="1"/>
        <v>10</v>
      </c>
      <c r="D10" s="1">
        <f t="shared" ca="1" si="2"/>
        <v>74</v>
      </c>
      <c r="E10" s="1">
        <f t="shared" ca="1" si="3"/>
        <v>74</v>
      </c>
      <c r="F10" s="1">
        <f t="shared" ca="1" si="4"/>
        <v>0</v>
      </c>
      <c r="G10" s="1">
        <f t="shared" ca="1" si="5"/>
        <v>4</v>
      </c>
      <c r="H10" s="1">
        <f t="shared" ca="1" si="6"/>
        <v>93</v>
      </c>
      <c r="I10" s="1">
        <f t="shared" ca="1" si="7"/>
        <v>10</v>
      </c>
      <c r="J10" s="1">
        <f t="shared" ca="1" si="8"/>
        <v>84</v>
      </c>
      <c r="K10" s="1">
        <f t="shared" ca="1" si="9"/>
        <v>10</v>
      </c>
    </row>
    <row r="11" spans="1:11" x14ac:dyDescent="0.3">
      <c r="A11" s="1">
        <v>10</v>
      </c>
      <c r="B11" s="1">
        <f t="shared" ca="1" si="0"/>
        <v>78</v>
      </c>
      <c r="C11" s="1">
        <f t="shared" ca="1" si="1"/>
        <v>10</v>
      </c>
      <c r="D11" s="1">
        <f t="shared" ca="1" si="2"/>
        <v>84</v>
      </c>
      <c r="E11" s="1">
        <f t="shared" ca="1" si="3"/>
        <v>84</v>
      </c>
      <c r="F11" s="1">
        <f t="shared" ca="1" si="4"/>
        <v>0</v>
      </c>
      <c r="G11" s="1">
        <f t="shared" ca="1" si="5"/>
        <v>0</v>
      </c>
      <c r="H11" s="1">
        <f t="shared" ca="1" si="6"/>
        <v>25</v>
      </c>
      <c r="I11" s="1">
        <f t="shared" ca="1" si="7"/>
        <v>6</v>
      </c>
      <c r="J11" s="1">
        <f t="shared" ca="1" si="8"/>
        <v>90</v>
      </c>
      <c r="K11" s="1">
        <f t="shared" ca="1" si="9"/>
        <v>6</v>
      </c>
    </row>
    <row r="12" spans="1:11" x14ac:dyDescent="0.3">
      <c r="A12" s="1">
        <v>11</v>
      </c>
      <c r="B12" s="1">
        <f t="shared" ca="1" si="0"/>
        <v>60</v>
      </c>
      <c r="C12" s="1">
        <f t="shared" ca="1" si="1"/>
        <v>8</v>
      </c>
      <c r="D12" s="1">
        <f t="shared" ca="1" si="2"/>
        <v>92</v>
      </c>
      <c r="E12" s="1">
        <f t="shared" ca="1" si="3"/>
        <v>92</v>
      </c>
      <c r="F12" s="1">
        <f t="shared" ca="1" si="4"/>
        <v>0</v>
      </c>
      <c r="G12" s="1">
        <f t="shared" ca="1" si="5"/>
        <v>2</v>
      </c>
      <c r="H12" s="1">
        <f t="shared" ca="1" si="6"/>
        <v>46</v>
      </c>
      <c r="I12" s="1">
        <f t="shared" ca="1" si="7"/>
        <v>8</v>
      </c>
      <c r="J12" s="1">
        <f t="shared" ca="1" si="8"/>
        <v>100</v>
      </c>
      <c r="K12" s="1">
        <f t="shared" ca="1" si="9"/>
        <v>8</v>
      </c>
    </row>
    <row r="13" spans="1:11" x14ac:dyDescent="0.3">
      <c r="A13" s="1">
        <v>12</v>
      </c>
      <c r="B13" s="1">
        <f t="shared" ca="1" si="0"/>
        <v>66</v>
      </c>
      <c r="C13" s="1">
        <f t="shared" ca="1" si="1"/>
        <v>8</v>
      </c>
      <c r="D13" s="1">
        <f t="shared" ca="1" si="2"/>
        <v>100</v>
      </c>
      <c r="E13" s="1">
        <f t="shared" ca="1" si="3"/>
        <v>100</v>
      </c>
      <c r="F13" s="1">
        <f t="shared" ca="1" si="4"/>
        <v>0</v>
      </c>
      <c r="G13" s="1">
        <f t="shared" ca="1" si="5"/>
        <v>0</v>
      </c>
      <c r="H13" s="1">
        <f t="shared" ca="1" si="6"/>
        <v>39</v>
      </c>
      <c r="I13" s="1">
        <f t="shared" ca="1" si="7"/>
        <v>6</v>
      </c>
      <c r="J13" s="1">
        <f t="shared" ca="1" si="8"/>
        <v>106</v>
      </c>
      <c r="K13" s="1">
        <f t="shared" ca="1" si="9"/>
        <v>6</v>
      </c>
    </row>
    <row r="14" spans="1:11" x14ac:dyDescent="0.3">
      <c r="A14" s="1">
        <v>13</v>
      </c>
      <c r="B14" s="1">
        <f t="shared" ca="1" si="0"/>
        <v>27</v>
      </c>
      <c r="C14" s="1">
        <f t="shared" ca="1" si="1"/>
        <v>6</v>
      </c>
      <c r="D14" s="1">
        <f t="shared" ca="1" si="2"/>
        <v>106</v>
      </c>
      <c r="E14" s="1">
        <f t="shared" ca="1" si="3"/>
        <v>106</v>
      </c>
      <c r="F14" s="1">
        <f t="shared" ca="1" si="4"/>
        <v>0</v>
      </c>
      <c r="G14" s="1">
        <f t="shared" ca="1" si="5"/>
        <v>0</v>
      </c>
      <c r="H14" s="1">
        <f t="shared" ca="1" si="6"/>
        <v>66</v>
      </c>
      <c r="I14" s="1">
        <f t="shared" ca="1" si="7"/>
        <v>8</v>
      </c>
      <c r="J14" s="1">
        <f t="shared" ca="1" si="8"/>
        <v>114</v>
      </c>
      <c r="K14" s="1">
        <f t="shared" ca="1" si="9"/>
        <v>8</v>
      </c>
    </row>
    <row r="15" spans="1:11" x14ac:dyDescent="0.3">
      <c r="A15" s="1">
        <v>14</v>
      </c>
      <c r="B15" s="1">
        <f t="shared" ca="1" si="0"/>
        <v>4</v>
      </c>
      <c r="C15" s="1">
        <f t="shared" ca="1" si="1"/>
        <v>6</v>
      </c>
      <c r="D15" s="1">
        <f t="shared" ca="1" si="2"/>
        <v>112</v>
      </c>
      <c r="E15" s="1">
        <f t="shared" ca="1" si="3"/>
        <v>114</v>
      </c>
      <c r="F15" s="1">
        <f t="shared" ca="1" si="4"/>
        <v>2</v>
      </c>
      <c r="G15" s="1">
        <f t="shared" ca="1" si="5"/>
        <v>0</v>
      </c>
      <c r="H15" s="1">
        <f t="shared" ca="1" si="6"/>
        <v>24</v>
      </c>
      <c r="I15" s="1">
        <f t="shared" ca="1" si="7"/>
        <v>6</v>
      </c>
      <c r="J15" s="1">
        <f t="shared" ca="1" si="8"/>
        <v>120</v>
      </c>
      <c r="K15" s="1">
        <f t="shared" ca="1" si="9"/>
        <v>8</v>
      </c>
    </row>
    <row r="16" spans="1:11" x14ac:dyDescent="0.3">
      <c r="A16" s="1">
        <v>15</v>
      </c>
      <c r="B16" s="1">
        <f t="shared" ca="1" si="0"/>
        <v>6</v>
      </c>
      <c r="C16" s="1">
        <f t="shared" ca="1" si="1"/>
        <v>6</v>
      </c>
      <c r="D16" s="1">
        <f t="shared" ca="1" si="2"/>
        <v>118</v>
      </c>
      <c r="E16" s="1">
        <f t="shared" ca="1" si="3"/>
        <v>120</v>
      </c>
      <c r="F16" s="1">
        <f t="shared" ca="1" si="4"/>
        <v>2</v>
      </c>
      <c r="G16" s="1">
        <f t="shared" ca="1" si="5"/>
        <v>0</v>
      </c>
      <c r="H16" s="1">
        <f t="shared" ca="1" si="6"/>
        <v>78</v>
      </c>
      <c r="I16" s="1">
        <f t="shared" ca="1" si="7"/>
        <v>10</v>
      </c>
      <c r="J16" s="1">
        <f t="shared" ca="1" si="8"/>
        <v>130</v>
      </c>
      <c r="K16" s="1">
        <f t="shared" ca="1" si="9"/>
        <v>12</v>
      </c>
    </row>
    <row r="17" spans="1:11" x14ac:dyDescent="0.3">
      <c r="A17" s="1">
        <v>16</v>
      </c>
      <c r="B17" s="1">
        <f t="shared" ca="1" si="0"/>
        <v>58</v>
      </c>
      <c r="C17" s="1">
        <f t="shared" ca="1" si="1"/>
        <v>8</v>
      </c>
      <c r="D17" s="1">
        <f t="shared" ca="1" si="2"/>
        <v>126</v>
      </c>
      <c r="E17" s="1">
        <f t="shared" ca="1" si="3"/>
        <v>130</v>
      </c>
      <c r="F17" s="1">
        <f t="shared" ca="1" si="4"/>
        <v>4</v>
      </c>
      <c r="G17" s="1">
        <f t="shared" ca="1" si="5"/>
        <v>0</v>
      </c>
      <c r="H17" s="1">
        <f t="shared" ca="1" si="6"/>
        <v>1</v>
      </c>
      <c r="I17" s="1">
        <f t="shared" ca="1" si="7"/>
        <v>6</v>
      </c>
      <c r="J17" s="1">
        <f t="shared" ca="1" si="8"/>
        <v>136</v>
      </c>
      <c r="K17" s="1">
        <f t="shared" ca="1" si="9"/>
        <v>10</v>
      </c>
    </row>
    <row r="18" spans="1:11" x14ac:dyDescent="0.3">
      <c r="A18" s="1">
        <v>17</v>
      </c>
      <c r="B18" s="1">
        <f t="shared" ca="1" si="0"/>
        <v>54</v>
      </c>
      <c r="C18" s="1">
        <f t="shared" ca="1" si="1"/>
        <v>8</v>
      </c>
      <c r="D18" s="1">
        <f t="shared" ca="1" si="2"/>
        <v>134</v>
      </c>
      <c r="E18" s="1">
        <f t="shared" ca="1" si="3"/>
        <v>136</v>
      </c>
      <c r="F18" s="1">
        <f t="shared" ca="1" si="4"/>
        <v>2</v>
      </c>
      <c r="G18" s="1">
        <f t="shared" ca="1" si="5"/>
        <v>0</v>
      </c>
      <c r="H18" s="1">
        <f t="shared" ca="1" si="6"/>
        <v>41</v>
      </c>
      <c r="I18" s="1">
        <f t="shared" ca="1" si="7"/>
        <v>8</v>
      </c>
      <c r="J18" s="1">
        <f t="shared" ca="1" si="8"/>
        <v>144</v>
      </c>
      <c r="K18" s="1">
        <f t="shared" ca="1" si="9"/>
        <v>10</v>
      </c>
    </row>
    <row r="19" spans="1:11" x14ac:dyDescent="0.3">
      <c r="A19" s="1">
        <v>18</v>
      </c>
      <c r="B19" s="1">
        <f t="shared" ca="1" si="0"/>
        <v>15</v>
      </c>
      <c r="C19" s="1">
        <f t="shared" ca="1" si="1"/>
        <v>6</v>
      </c>
      <c r="D19" s="1">
        <f t="shared" ca="1" si="2"/>
        <v>140</v>
      </c>
      <c r="E19" s="1">
        <f t="shared" ca="1" si="3"/>
        <v>144</v>
      </c>
      <c r="F19" s="1">
        <f t="shared" ca="1" si="4"/>
        <v>4</v>
      </c>
      <c r="G19" s="1">
        <f t="shared" ca="1" si="5"/>
        <v>0</v>
      </c>
      <c r="H19" s="1">
        <f t="shared" ca="1" si="6"/>
        <v>6</v>
      </c>
      <c r="I19" s="1">
        <f t="shared" ca="1" si="7"/>
        <v>6</v>
      </c>
      <c r="J19" s="1">
        <f t="shared" ca="1" si="8"/>
        <v>150</v>
      </c>
      <c r="K19" s="1">
        <f t="shared" ca="1" si="9"/>
        <v>10</v>
      </c>
    </row>
    <row r="20" spans="1:11" x14ac:dyDescent="0.3">
      <c r="A20" s="1">
        <v>19</v>
      </c>
      <c r="B20" s="1">
        <f t="shared" ca="1" si="0"/>
        <v>61</v>
      </c>
      <c r="C20" s="1">
        <f t="shared" ca="1" si="1"/>
        <v>8</v>
      </c>
      <c r="D20" s="1">
        <f t="shared" ca="1" si="2"/>
        <v>148</v>
      </c>
      <c r="E20" s="1">
        <f t="shared" ca="1" si="3"/>
        <v>150</v>
      </c>
      <c r="F20" s="1">
        <f t="shared" ca="1" si="4"/>
        <v>2</v>
      </c>
      <c r="G20" s="1">
        <f t="shared" ca="1" si="5"/>
        <v>0</v>
      </c>
      <c r="H20" s="1">
        <f t="shared" ca="1" si="6"/>
        <v>96</v>
      </c>
      <c r="I20" s="1">
        <f t="shared" ca="1" si="7"/>
        <v>10</v>
      </c>
      <c r="J20" s="1">
        <f t="shared" ca="1" si="8"/>
        <v>160</v>
      </c>
      <c r="K20" s="1">
        <f t="shared" ca="1" si="9"/>
        <v>12</v>
      </c>
    </row>
    <row r="21" spans="1:11" x14ac:dyDescent="0.3">
      <c r="A21" s="1">
        <v>20</v>
      </c>
      <c r="B21" s="1">
        <f t="shared" ca="1" si="0"/>
        <v>90</v>
      </c>
      <c r="C21" s="1">
        <f t="shared" ca="1" si="1"/>
        <v>10</v>
      </c>
      <c r="D21" s="1">
        <f t="shared" ca="1" si="2"/>
        <v>158</v>
      </c>
      <c r="E21" s="1">
        <f t="shared" ca="1" si="3"/>
        <v>160</v>
      </c>
      <c r="F21" s="1">
        <f t="shared" ca="1" si="4"/>
        <v>2</v>
      </c>
      <c r="G21" s="1">
        <f t="shared" ca="1" si="5"/>
        <v>0</v>
      </c>
      <c r="H21" s="1">
        <f t="shared" ca="1" si="6"/>
        <v>79</v>
      </c>
      <c r="I21" s="1">
        <f t="shared" ca="1" si="7"/>
        <v>10</v>
      </c>
      <c r="J21" s="1">
        <f t="shared" ca="1" si="8"/>
        <v>170</v>
      </c>
      <c r="K21" s="1">
        <f t="shared" ca="1" si="9"/>
        <v>12</v>
      </c>
    </row>
    <row r="22" spans="1:11" x14ac:dyDescent="0.3">
      <c r="I22">
        <f ca="1">SUM(I2:I21)</f>
        <v>152</v>
      </c>
    </row>
    <row r="23" spans="1:11" x14ac:dyDescent="0.3">
      <c r="A23" t="s">
        <v>11</v>
      </c>
      <c r="F23">
        <f ca="1">(F21+K21)/2</f>
        <v>7</v>
      </c>
    </row>
    <row r="26" spans="1:11" x14ac:dyDescent="0.3">
      <c r="A26" t="s">
        <v>12</v>
      </c>
      <c r="F26">
        <f ca="1">(I22/J21)*100</f>
        <v>89.411764705882362</v>
      </c>
    </row>
    <row r="28" spans="1:11" x14ac:dyDescent="0.3">
      <c r="A28" t="s">
        <v>13</v>
      </c>
      <c r="F28">
        <f ca="1">(100-F26)</f>
        <v>10.588235294117638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Kuyruk_Simulasyonu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VOLKAN TIKIR</cp:lastModifiedBy>
  <dcterms:created xsi:type="dcterms:W3CDTF">2025-12-19T17:58:47Z</dcterms:created>
  <dcterms:modified xsi:type="dcterms:W3CDTF">2026-01-02T14:07:17Z</dcterms:modified>
</cp:coreProperties>
</file>