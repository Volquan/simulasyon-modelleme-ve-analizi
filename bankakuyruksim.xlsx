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ka\Downloads\"/>
    </mc:Choice>
  </mc:AlternateContent>
  <xr:revisionPtr revIDLastSave="0" documentId="13_ncr:1_{4226B807-CF9B-4198-9BEE-7F7355E1A6FE}" xr6:coauthVersionLast="47" xr6:coauthVersionMax="47" xr10:uidLastSave="{00000000-0000-0000-0000-000000000000}"/>
  <bookViews>
    <workbookView xWindow="-108" yWindow="-108" windowWidth="30936" windowHeight="18696" activeTab="1" xr2:uid="{A8BA3483-0AEA-4C07-962B-4C61579A5594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I22" i="2" s="1"/>
  <c r="G22" i="2"/>
  <c r="B22" i="2"/>
  <c r="C22" i="2" s="1"/>
  <c r="H21" i="2"/>
  <c r="I21" i="2" s="1"/>
  <c r="G21" i="2"/>
  <c r="B21" i="2"/>
  <c r="C21" i="2" s="1"/>
  <c r="H20" i="2"/>
  <c r="I20" i="2" s="1"/>
  <c r="G20" i="2"/>
  <c r="B20" i="2"/>
  <c r="C20" i="2" s="1"/>
  <c r="H19" i="2"/>
  <c r="I19" i="2" s="1"/>
  <c r="G19" i="2"/>
  <c r="B19" i="2"/>
  <c r="C19" i="2" s="1"/>
  <c r="H18" i="2"/>
  <c r="I18" i="2" s="1"/>
  <c r="G18" i="2"/>
  <c r="B18" i="2"/>
  <c r="C18" i="2" s="1"/>
  <c r="H17" i="2"/>
  <c r="I17" i="2" s="1"/>
  <c r="G17" i="2"/>
  <c r="B17" i="2"/>
  <c r="C17" i="2" s="1"/>
  <c r="H16" i="2"/>
  <c r="I16" i="2" s="1"/>
  <c r="G16" i="2"/>
  <c r="B16" i="2"/>
  <c r="C16" i="2" s="1"/>
  <c r="H15" i="2"/>
  <c r="I15" i="2" s="1"/>
  <c r="G15" i="2"/>
  <c r="B15" i="2"/>
  <c r="C15" i="2" s="1"/>
  <c r="H14" i="2"/>
  <c r="I14" i="2" s="1"/>
  <c r="G14" i="2"/>
  <c r="B14" i="2"/>
  <c r="C14" i="2" s="1"/>
  <c r="H13" i="2"/>
  <c r="I13" i="2" s="1"/>
  <c r="G13" i="2"/>
  <c r="B13" i="2"/>
  <c r="C13" i="2" s="1"/>
  <c r="H12" i="2"/>
  <c r="I12" i="2" s="1"/>
  <c r="G12" i="2"/>
  <c r="B12" i="2"/>
  <c r="C12" i="2" s="1"/>
  <c r="H11" i="2"/>
  <c r="I11" i="2" s="1"/>
  <c r="G11" i="2"/>
  <c r="B11" i="2"/>
  <c r="C11" i="2" s="1"/>
  <c r="H10" i="2"/>
  <c r="I10" i="2" s="1"/>
  <c r="G10" i="2"/>
  <c r="B10" i="2"/>
  <c r="C10" i="2" s="1"/>
  <c r="H9" i="2"/>
  <c r="I9" i="2" s="1"/>
  <c r="G9" i="2"/>
  <c r="B9" i="2"/>
  <c r="C9" i="2" s="1"/>
  <c r="H8" i="2"/>
  <c r="I8" i="2" s="1"/>
  <c r="G8" i="2"/>
  <c r="B8" i="2"/>
  <c r="C8" i="2" s="1"/>
  <c r="H7" i="2"/>
  <c r="I7" i="2" s="1"/>
  <c r="G7" i="2"/>
  <c r="B7" i="2"/>
  <c r="C7" i="2" s="1"/>
  <c r="H6" i="2"/>
  <c r="I6" i="2" s="1"/>
  <c r="G6" i="2"/>
  <c r="B6" i="2"/>
  <c r="C6" i="2" s="1"/>
  <c r="H5" i="2"/>
  <c r="I5" i="2" s="1"/>
  <c r="G5" i="2"/>
  <c r="B5" i="2"/>
  <c r="C5" i="2" s="1"/>
  <c r="H4" i="2"/>
  <c r="I4" i="2" s="1"/>
  <c r="G4" i="2"/>
  <c r="B4" i="2"/>
  <c r="C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H3" i="2"/>
  <c r="I3" i="2" s="1"/>
  <c r="G3" i="2"/>
  <c r="G23" i="2" s="1"/>
  <c r="B3" i="2"/>
  <c r="C3" i="2" s="1"/>
  <c r="D3" i="2" l="1"/>
  <c r="D4" i="2" s="1"/>
  <c r="I23" i="2"/>
  <c r="F27" i="2" s="1"/>
  <c r="F29" i="2" s="1"/>
  <c r="G21" i="1"/>
  <c r="H21" i="1"/>
  <c r="I21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" i="1"/>
  <c r="C2" i="1" s="1"/>
  <c r="D2" i="1" s="1"/>
  <c r="F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G22" i="1" l="1"/>
  <c r="F3" i="2"/>
  <c r="K3" i="2" s="1"/>
  <c r="D5" i="2"/>
  <c r="F4" i="2"/>
  <c r="K4" i="2" s="1"/>
  <c r="I22" i="1"/>
  <c r="F26" i="1" s="1"/>
  <c r="F28" i="1" s="1"/>
  <c r="K2" i="1"/>
  <c r="D3" i="1"/>
  <c r="D6" i="2" l="1"/>
  <c r="F5" i="2"/>
  <c r="K5" i="2" s="1"/>
  <c r="D4" i="1"/>
  <c r="F3" i="1"/>
  <c r="F6" i="2" l="1"/>
  <c r="D7" i="2"/>
  <c r="K3" i="1"/>
  <c r="D5" i="1"/>
  <c r="F4" i="1"/>
  <c r="K4" i="1" s="1"/>
  <c r="D8" i="2" l="1"/>
  <c r="F7" i="2"/>
  <c r="K7" i="2" s="1"/>
  <c r="K6" i="2"/>
  <c r="D6" i="1"/>
  <c r="F5" i="1"/>
  <c r="K5" i="1" s="1"/>
  <c r="F8" i="2" l="1"/>
  <c r="D9" i="2"/>
  <c r="D7" i="1"/>
  <c r="F6" i="1"/>
  <c r="K8" i="2" l="1"/>
  <c r="D10" i="2"/>
  <c r="F9" i="2"/>
  <c r="K9" i="2" s="1"/>
  <c r="K6" i="1"/>
  <c r="D8" i="1"/>
  <c r="F7" i="1"/>
  <c r="K7" i="1" s="1"/>
  <c r="D11" i="2" l="1"/>
  <c r="F10" i="2"/>
  <c r="D9" i="1"/>
  <c r="F8" i="1"/>
  <c r="K8" i="1" s="1"/>
  <c r="K10" i="2" l="1"/>
  <c r="D12" i="2"/>
  <c r="F11" i="2"/>
  <c r="K11" i="2" s="1"/>
  <c r="D10" i="1"/>
  <c r="F9" i="1"/>
  <c r="K9" i="1" s="1"/>
  <c r="D13" i="2" l="1"/>
  <c r="F12" i="2"/>
  <c r="K12" i="2" s="1"/>
  <c r="D11" i="1"/>
  <c r="F10" i="1"/>
  <c r="K10" i="1" s="1"/>
  <c r="D14" i="2" l="1"/>
  <c r="F13" i="2"/>
  <c r="K13" i="2" s="1"/>
  <c r="D12" i="1"/>
  <c r="F11" i="1"/>
  <c r="K11" i="1" s="1"/>
  <c r="F14" i="2" l="1"/>
  <c r="K14" i="2" s="1"/>
  <c r="D15" i="2"/>
  <c r="D13" i="1"/>
  <c r="F12" i="1"/>
  <c r="K12" i="1" s="1"/>
  <c r="D16" i="2" l="1"/>
  <c r="F15" i="2"/>
  <c r="K15" i="2" s="1"/>
  <c r="D14" i="1"/>
  <c r="F13" i="1"/>
  <c r="K13" i="1" s="1"/>
  <c r="D17" i="2" l="1"/>
  <c r="F16" i="2"/>
  <c r="K16" i="2" s="1"/>
  <c r="D15" i="1"/>
  <c r="F14" i="1"/>
  <c r="K14" i="1" s="1"/>
  <c r="D18" i="2" l="1"/>
  <c r="F17" i="2"/>
  <c r="K17" i="2" s="1"/>
  <c r="D16" i="1"/>
  <c r="F15" i="1"/>
  <c r="K15" i="1" s="1"/>
  <c r="F18" i="2" l="1"/>
  <c r="K18" i="2" s="1"/>
  <c r="D19" i="2"/>
  <c r="D17" i="1"/>
  <c r="F16" i="1"/>
  <c r="K16" i="1" s="1"/>
  <c r="D20" i="2" l="1"/>
  <c r="F19" i="2"/>
  <c r="K19" i="2" s="1"/>
  <c r="D18" i="1"/>
  <c r="F17" i="1"/>
  <c r="K17" i="1" s="1"/>
  <c r="F20" i="2" l="1"/>
  <c r="K20" i="2" s="1"/>
  <c r="D21" i="2"/>
  <c r="D19" i="1"/>
  <c r="F18" i="1"/>
  <c r="K18" i="1" s="1"/>
  <c r="D22" i="2" l="1"/>
  <c r="F22" i="2" s="1"/>
  <c r="F21" i="2"/>
  <c r="K21" i="2" s="1"/>
  <c r="D20" i="1"/>
  <c r="F19" i="1"/>
  <c r="K19" i="1" s="1"/>
  <c r="K22" i="2" l="1"/>
  <c r="K23" i="2" s="1"/>
  <c r="F23" i="2"/>
  <c r="D21" i="1"/>
  <c r="F21" i="1" s="1"/>
  <c r="F20" i="1"/>
  <c r="K20" i="1" s="1"/>
  <c r="F25" i="2" l="1"/>
  <c r="K21" i="1"/>
  <c r="K22" i="1" s="1"/>
  <c r="F22" i="1"/>
  <c r="F24" i="1" l="1"/>
</calcChain>
</file>

<file path=xl/sharedStrings.xml><?xml version="1.0" encoding="utf-8"?>
<sst xmlns="http://schemas.openxmlformats.org/spreadsheetml/2006/main" count="42" uniqueCount="29">
  <si>
    <t>G.A.Z</t>
  </si>
  <si>
    <t>r1</t>
  </si>
  <si>
    <t>Ürün</t>
  </si>
  <si>
    <t>G.Z</t>
  </si>
  <si>
    <t>İşleme Başlama Zamanı</t>
  </si>
  <si>
    <t>Ürün Bekleme Süresi</t>
  </si>
  <si>
    <t>Makinenin Boş Kalma Süresi</t>
  </si>
  <si>
    <t>r2</t>
  </si>
  <si>
    <t>İşlem Süresi</t>
  </si>
  <si>
    <t>İşlem Bitiş Süresi</t>
  </si>
  <si>
    <t>Ürünün Sistemde Geçirdiği Süre</t>
  </si>
  <si>
    <t>Toplam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</si>
  <si>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</si>
  <si>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</si>
  <si>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</si>
  <si>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</si>
  <si>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</si>
  <si>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</si>
  <si>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</si>
  <si>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</si>
  <si>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</si>
  <si>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</si>
  <si>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</si>
  <si>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V.A.Z</t>
  </si>
  <si>
    <t>V.Z</t>
  </si>
  <si>
    <t>Ürünün sistemde geçirdiği ortalama süre</t>
  </si>
  <si>
    <t>Makinenin Doluluk Yüzdesi</t>
  </si>
  <si>
    <t>%</t>
  </si>
  <si>
    <t>Makinenin Boş Kalma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</si>
</sst>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17F0-5B88-4BCB-B2B2-AC37A11398B9}">
  <dimension ref="A1:K28"/>
  <sheetViews>
    <sheetView topLeftCell="A7" zoomScale="106" zoomScaleNormal="106" workbookViewId="0">
      <selection activeCell="F28" sqref="F28"/>
    </sheetView>
  </sheetViews>
  <sheetFormatPr defaultRowHeight="14.4" x14ac:dyDescent="0.3"/>
  <cols>
    <col min="5" max="5" width="20.44140625" bestFit="1" customWidth="1"/>
    <col min="6" max="6" width="18.109375" bestFit="1" customWidth="1"/>
    <col min="7" max="7" width="24.44140625" bestFit="1" customWidth="1"/>
    <col min="9" max="9" width="10.6640625" bestFit="1" customWidth="1"/>
    <col min="10" max="10" width="14.6640625" bestFit="1" customWidth="1"/>
    <col min="11" max="11" width="27.44140625" bestFit="1" customWidth="1"/>
  </cols>
  <sheetData>
    <row r="1" spans="1:11" x14ac:dyDescent="0.3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>
        <f ca="1">RANDBETWEEN(1,100)</f>
        <v>36</v>
      </c>
      <c r="C2" s="2">
        <f ca="1">IF(B2&lt;=9,6,IF(B2&lt;=39,7,IF(B2&lt;=69,8,9)))</f>
        <v>7</v>
      </c>
      <c r="D2" s="2">
        <f ca="1">C2</f>
        <v>7</v>
      </c>
      <c r="E2" s="2">
        <v>6</v>
      </c>
      <c r="F2" s="2">
        <f ca="1">IF(E2-D2&lt;0,0,E2-D2)</f>
        <v>0</v>
      </c>
      <c r="G2" s="2">
        <f>J2-E2</f>
        <v>8</v>
      </c>
      <c r="H2" s="2">
        <f ca="1">RANDBETWEEN(1,100)</f>
        <v>67</v>
      </c>
      <c r="I2" s="2">
        <f ca="1">IF(H2&lt;=39,6,IF(H2&lt;=69,8,IF(H2&lt;=99,10)))</f>
        <v>8</v>
      </c>
      <c r="J2" s="2">
        <v>14</v>
      </c>
      <c r="K2" s="2">
        <f ca="1">F2+I2</f>
        <v>8</v>
      </c>
    </row>
    <row r="3" spans="1:11" x14ac:dyDescent="0.3">
      <c r="A3" s="2">
        <f>1+A2</f>
        <v>2</v>
      </c>
      <c r="B3" s="2">
        <f t="shared" ref="B3:B21" ca="1" si="0">RANDBETWEEN(1,100)</f>
        <v>79</v>
      </c>
      <c r="C3" s="2">
        <f t="shared" ref="C3:C21" ca="1" si="1">IF(B3&lt;=9,6,IF(B3&lt;=39,7,IF(B3&lt;=69,8,9)))</f>
        <v>9</v>
      </c>
      <c r="D3" s="2">
        <f ca="1">D2+C3</f>
        <v>16</v>
      </c>
      <c r="E3" s="2">
        <v>14</v>
      </c>
      <c r="F3" s="2">
        <f t="shared" ref="F3:F21" ca="1" si="2">IF(E3-D3&lt;0,0,E3-D3)</f>
        <v>0</v>
      </c>
      <c r="G3" s="2">
        <f t="shared" ref="G3:G21" si="3">J3-E3</f>
        <v>6</v>
      </c>
      <c r="H3" s="2">
        <f t="shared" ref="H3:H21" ca="1" si="4">RANDBETWEEN(1,100)</f>
        <v>70</v>
      </c>
      <c r="I3" s="2">
        <f t="shared" ref="I3:I21" ca="1" si="5">IF(H3&lt;=39,6,IF(H3&lt;=69,8,IF(H3&lt;=99,10)))</f>
        <v>10</v>
      </c>
      <c r="J3" s="2">
        <v>20</v>
      </c>
      <c r="K3" s="2">
        <f t="shared" ref="K3:K21" ca="1" si="6">F3+I3</f>
        <v>10</v>
      </c>
    </row>
    <row r="4" spans="1:11" x14ac:dyDescent="0.3">
      <c r="A4" s="2">
        <f t="shared" ref="A4:A20" si="7">1+A3</f>
        <v>3</v>
      </c>
      <c r="B4" s="2">
        <f t="shared" ca="1" si="0"/>
        <v>63</v>
      </c>
      <c r="C4" s="2">
        <f t="shared" ca="1" si="1"/>
        <v>8</v>
      </c>
      <c r="D4" s="2">
        <f t="shared" ref="D4:D21" ca="1" si="8">D3+C4</f>
        <v>24</v>
      </c>
      <c r="E4" s="2">
        <v>20</v>
      </c>
      <c r="F4" s="2">
        <f t="shared" ca="1" si="2"/>
        <v>0</v>
      </c>
      <c r="G4" s="2">
        <f t="shared" si="3"/>
        <v>10</v>
      </c>
      <c r="H4" s="2">
        <f t="shared" ca="1" si="4"/>
        <v>14</v>
      </c>
      <c r="I4" s="2">
        <f t="shared" ca="1" si="5"/>
        <v>6</v>
      </c>
      <c r="J4" s="2">
        <v>30</v>
      </c>
      <c r="K4" s="2">
        <f t="shared" ca="1" si="6"/>
        <v>6</v>
      </c>
    </row>
    <row r="5" spans="1:11" x14ac:dyDescent="0.3">
      <c r="A5" s="2">
        <f t="shared" si="7"/>
        <v>4</v>
      </c>
      <c r="B5" s="2">
        <f t="shared" ca="1" si="0"/>
        <v>23</v>
      </c>
      <c r="C5" s="2">
        <f t="shared" ca="1" si="1"/>
        <v>7</v>
      </c>
      <c r="D5" s="2">
        <f t="shared" ca="1" si="8"/>
        <v>31</v>
      </c>
      <c r="E5" s="2">
        <v>30</v>
      </c>
      <c r="F5" s="2">
        <f t="shared" ca="1" si="2"/>
        <v>0</v>
      </c>
      <c r="G5" s="2">
        <f t="shared" si="3"/>
        <v>6</v>
      </c>
      <c r="H5" s="2">
        <f t="shared" ca="1" si="4"/>
        <v>30</v>
      </c>
      <c r="I5" s="2">
        <f t="shared" ca="1" si="5"/>
        <v>6</v>
      </c>
      <c r="J5" s="2">
        <v>36</v>
      </c>
      <c r="K5" s="2">
        <f t="shared" ca="1" si="6"/>
        <v>6</v>
      </c>
    </row>
    <row r="6" spans="1:11" x14ac:dyDescent="0.3">
      <c r="A6" s="2">
        <f t="shared" si="7"/>
        <v>5</v>
      </c>
      <c r="B6" s="2">
        <f t="shared" ca="1" si="0"/>
        <v>68</v>
      </c>
      <c r="C6" s="2">
        <f t="shared" ca="1" si="1"/>
        <v>8</v>
      </c>
      <c r="D6" s="2">
        <f t="shared" ca="1" si="8"/>
        <v>39</v>
      </c>
      <c r="E6" s="2">
        <v>37</v>
      </c>
      <c r="F6" s="2">
        <f t="shared" ca="1" si="2"/>
        <v>0</v>
      </c>
      <c r="G6" s="2">
        <f t="shared" si="3"/>
        <v>6</v>
      </c>
      <c r="H6" s="2">
        <f t="shared" ca="1" si="4"/>
        <v>30</v>
      </c>
      <c r="I6" s="2">
        <f t="shared" ca="1" si="5"/>
        <v>6</v>
      </c>
      <c r="J6" s="2">
        <v>43</v>
      </c>
      <c r="K6" s="2">
        <f t="shared" ca="1" si="6"/>
        <v>6</v>
      </c>
    </row>
    <row r="7" spans="1:11" x14ac:dyDescent="0.3">
      <c r="A7" s="2">
        <f t="shared" si="7"/>
        <v>6</v>
      </c>
      <c r="B7" s="2">
        <f t="shared" ca="1" si="0"/>
        <v>46</v>
      </c>
      <c r="C7" s="2">
        <f t="shared" ca="1" si="1"/>
        <v>8</v>
      </c>
      <c r="D7" s="2">
        <f t="shared" ca="1" si="8"/>
        <v>47</v>
      </c>
      <c r="E7" s="2">
        <v>44</v>
      </c>
      <c r="F7" s="2">
        <f t="shared" ca="1" si="2"/>
        <v>0</v>
      </c>
      <c r="G7" s="2">
        <f t="shared" si="3"/>
        <v>8</v>
      </c>
      <c r="H7" s="2">
        <f t="shared" ca="1" si="4"/>
        <v>76</v>
      </c>
      <c r="I7" s="2">
        <f t="shared" ca="1" si="5"/>
        <v>10</v>
      </c>
      <c r="J7" s="2">
        <v>52</v>
      </c>
      <c r="K7" s="2">
        <f t="shared" ca="1" si="6"/>
        <v>10</v>
      </c>
    </row>
    <row r="8" spans="1:11" x14ac:dyDescent="0.3">
      <c r="A8" s="2">
        <f t="shared" si="7"/>
        <v>7</v>
      </c>
      <c r="B8" s="2">
        <f t="shared" ca="1" si="0"/>
        <v>60</v>
      </c>
      <c r="C8" s="2">
        <f t="shared" ca="1" si="1"/>
        <v>8</v>
      </c>
      <c r="D8" s="2">
        <f t="shared" ca="1" si="8"/>
        <v>55</v>
      </c>
      <c r="E8" s="2">
        <v>54</v>
      </c>
      <c r="F8" s="2">
        <f t="shared" ca="1" si="2"/>
        <v>0</v>
      </c>
      <c r="G8" s="2">
        <f t="shared" si="3"/>
        <v>10</v>
      </c>
      <c r="H8" s="2">
        <f t="shared" ca="1" si="4"/>
        <v>36</v>
      </c>
      <c r="I8" s="2">
        <f t="shared" ca="1" si="5"/>
        <v>6</v>
      </c>
      <c r="J8" s="2">
        <v>64</v>
      </c>
      <c r="K8" s="2">
        <f t="shared" ca="1" si="6"/>
        <v>6</v>
      </c>
    </row>
    <row r="9" spans="1:11" x14ac:dyDescent="0.3">
      <c r="A9" s="2">
        <f t="shared" si="7"/>
        <v>8</v>
      </c>
      <c r="B9" s="2">
        <f t="shared" ca="1" si="0"/>
        <v>90</v>
      </c>
      <c r="C9" s="2">
        <f t="shared" ca="1" si="1"/>
        <v>9</v>
      </c>
      <c r="D9" s="2">
        <f t="shared" ca="1" si="8"/>
        <v>64</v>
      </c>
      <c r="E9" s="2">
        <v>64</v>
      </c>
      <c r="F9" s="2">
        <f t="shared" ca="1" si="2"/>
        <v>0</v>
      </c>
      <c r="G9" s="2">
        <f t="shared" si="3"/>
        <v>8</v>
      </c>
      <c r="H9" s="2">
        <f t="shared" ca="1" si="4"/>
        <v>41</v>
      </c>
      <c r="I9" s="2">
        <f t="shared" ca="1" si="5"/>
        <v>8</v>
      </c>
      <c r="J9" s="2">
        <v>72</v>
      </c>
      <c r="K9" s="2">
        <f t="shared" ca="1" si="6"/>
        <v>8</v>
      </c>
    </row>
    <row r="10" spans="1:11" x14ac:dyDescent="0.3">
      <c r="A10" s="2">
        <f t="shared" si="7"/>
        <v>9</v>
      </c>
      <c r="B10" s="2">
        <f t="shared" ca="1" si="0"/>
        <v>2</v>
      </c>
      <c r="C10" s="2">
        <f t="shared" ca="1" si="1"/>
        <v>6</v>
      </c>
      <c r="D10" s="2">
        <f t="shared" ca="1" si="8"/>
        <v>70</v>
      </c>
      <c r="E10" s="2">
        <v>72</v>
      </c>
      <c r="F10" s="2">
        <f t="shared" ca="1" si="2"/>
        <v>2</v>
      </c>
      <c r="G10" s="2">
        <f t="shared" si="3"/>
        <v>10</v>
      </c>
      <c r="H10" s="2">
        <f t="shared" ca="1" si="4"/>
        <v>44</v>
      </c>
      <c r="I10" s="2">
        <f t="shared" ca="1" si="5"/>
        <v>8</v>
      </c>
      <c r="J10" s="2">
        <v>82</v>
      </c>
      <c r="K10" s="2">
        <f t="shared" ca="1" si="6"/>
        <v>10</v>
      </c>
    </row>
    <row r="11" spans="1:11" x14ac:dyDescent="0.3">
      <c r="A11" s="2">
        <f t="shared" si="7"/>
        <v>10</v>
      </c>
      <c r="B11" s="2">
        <f t="shared" ca="1" si="0"/>
        <v>52</v>
      </c>
      <c r="C11" s="2">
        <f t="shared" ca="1" si="1"/>
        <v>8</v>
      </c>
      <c r="D11" s="2">
        <f t="shared" ca="1" si="8"/>
        <v>78</v>
      </c>
      <c r="E11" s="2">
        <v>82</v>
      </c>
      <c r="F11" s="2">
        <f t="shared" ca="1" si="2"/>
        <v>4</v>
      </c>
      <c r="G11" s="2">
        <f t="shared" si="3"/>
        <v>6</v>
      </c>
      <c r="H11" s="2">
        <f t="shared" ca="1" si="4"/>
        <v>6</v>
      </c>
      <c r="I11" s="2">
        <f t="shared" ca="1" si="5"/>
        <v>6</v>
      </c>
      <c r="J11" s="2">
        <v>88</v>
      </c>
      <c r="K11" s="2">
        <f t="shared" ca="1" si="6"/>
        <v>10</v>
      </c>
    </row>
    <row r="12" spans="1:11" x14ac:dyDescent="0.3">
      <c r="A12" s="2">
        <f t="shared" si="7"/>
        <v>11</v>
      </c>
      <c r="B12" s="2">
        <f t="shared" ca="1" si="0"/>
        <v>6</v>
      </c>
      <c r="C12" s="2">
        <f t="shared" ca="1" si="1"/>
        <v>6</v>
      </c>
      <c r="D12" s="2">
        <f t="shared" ca="1" si="8"/>
        <v>84</v>
      </c>
      <c r="E12" s="2">
        <v>88</v>
      </c>
      <c r="F12" s="2">
        <f t="shared" ca="1" si="2"/>
        <v>4</v>
      </c>
      <c r="G12" s="2">
        <f t="shared" si="3"/>
        <v>10</v>
      </c>
      <c r="H12" s="2">
        <f t="shared" ca="1" si="4"/>
        <v>4</v>
      </c>
      <c r="I12" s="2">
        <f t="shared" ca="1" si="5"/>
        <v>6</v>
      </c>
      <c r="J12" s="2">
        <v>98</v>
      </c>
      <c r="K12" s="2">
        <f t="shared" ca="1" si="6"/>
        <v>10</v>
      </c>
    </row>
    <row r="13" spans="1:11" x14ac:dyDescent="0.3">
      <c r="A13" s="2">
        <f t="shared" si="7"/>
        <v>12</v>
      </c>
      <c r="B13" s="2">
        <f t="shared" ca="1" si="0"/>
        <v>31</v>
      </c>
      <c r="C13" s="2">
        <f t="shared" ca="1" si="1"/>
        <v>7</v>
      </c>
      <c r="D13" s="2">
        <f t="shared" ca="1" si="8"/>
        <v>91</v>
      </c>
      <c r="E13" s="2">
        <v>98</v>
      </c>
      <c r="F13" s="2">
        <f t="shared" ca="1" si="2"/>
        <v>7</v>
      </c>
      <c r="G13" s="2">
        <f t="shared" si="3"/>
        <v>6</v>
      </c>
      <c r="H13" s="2">
        <f t="shared" ca="1" si="4"/>
        <v>86</v>
      </c>
      <c r="I13" s="2">
        <f t="shared" ca="1" si="5"/>
        <v>10</v>
      </c>
      <c r="J13" s="2">
        <v>104</v>
      </c>
      <c r="K13" s="2">
        <f t="shared" ca="1" si="6"/>
        <v>17</v>
      </c>
    </row>
    <row r="14" spans="1:11" x14ac:dyDescent="0.3">
      <c r="A14" s="2">
        <f t="shared" si="7"/>
        <v>13</v>
      </c>
      <c r="B14" s="2">
        <f t="shared" ca="1" si="0"/>
        <v>5</v>
      </c>
      <c r="C14" s="2">
        <f t="shared" ca="1" si="1"/>
        <v>6</v>
      </c>
      <c r="D14" s="2">
        <f t="shared" ca="1" si="8"/>
        <v>97</v>
      </c>
      <c r="E14" s="2">
        <v>104</v>
      </c>
      <c r="F14" s="2">
        <f t="shared" ca="1" si="2"/>
        <v>7</v>
      </c>
      <c r="G14" s="2">
        <f t="shared" si="3"/>
        <v>8</v>
      </c>
      <c r="H14" s="2">
        <f t="shared" ca="1" si="4"/>
        <v>23</v>
      </c>
      <c r="I14" s="2">
        <f t="shared" ca="1" si="5"/>
        <v>6</v>
      </c>
      <c r="J14" s="2">
        <v>112</v>
      </c>
      <c r="K14" s="2">
        <f t="shared" ca="1" si="6"/>
        <v>13</v>
      </c>
    </row>
    <row r="15" spans="1:11" x14ac:dyDescent="0.3">
      <c r="A15" s="2">
        <f t="shared" si="7"/>
        <v>14</v>
      </c>
      <c r="B15" s="2">
        <f t="shared" ca="1" si="0"/>
        <v>64</v>
      </c>
      <c r="C15" s="2">
        <f t="shared" ca="1" si="1"/>
        <v>8</v>
      </c>
      <c r="D15" s="2">
        <f t="shared" ca="1" si="8"/>
        <v>105</v>
      </c>
      <c r="E15" s="2">
        <v>113</v>
      </c>
      <c r="F15" s="2">
        <f t="shared" ca="1" si="2"/>
        <v>8</v>
      </c>
      <c r="G15" s="2">
        <f t="shared" si="3"/>
        <v>6</v>
      </c>
      <c r="H15" s="2">
        <f t="shared" ca="1" si="4"/>
        <v>62</v>
      </c>
      <c r="I15" s="2">
        <f t="shared" ca="1" si="5"/>
        <v>8</v>
      </c>
      <c r="J15" s="2">
        <v>119</v>
      </c>
      <c r="K15" s="2">
        <f t="shared" ca="1" si="6"/>
        <v>16</v>
      </c>
    </row>
    <row r="16" spans="1:11" x14ac:dyDescent="0.3">
      <c r="A16" s="2">
        <f t="shared" si="7"/>
        <v>15</v>
      </c>
      <c r="B16" s="2">
        <f t="shared" ca="1" si="0"/>
        <v>89</v>
      </c>
      <c r="C16" s="2">
        <f t="shared" ca="1" si="1"/>
        <v>9</v>
      </c>
      <c r="D16" s="2">
        <f t="shared" ca="1" si="8"/>
        <v>114</v>
      </c>
      <c r="E16" s="2">
        <v>123</v>
      </c>
      <c r="F16" s="2">
        <f t="shared" ca="1" si="2"/>
        <v>9</v>
      </c>
      <c r="G16" s="2">
        <f t="shared" si="3"/>
        <v>10</v>
      </c>
      <c r="H16" s="2">
        <f t="shared" ca="1" si="4"/>
        <v>15</v>
      </c>
      <c r="I16" s="2">
        <f t="shared" ca="1" si="5"/>
        <v>6</v>
      </c>
      <c r="J16" s="2">
        <v>133</v>
      </c>
      <c r="K16" s="2">
        <f t="shared" ca="1" si="6"/>
        <v>15</v>
      </c>
    </row>
    <row r="17" spans="1:11" x14ac:dyDescent="0.3">
      <c r="A17" s="2">
        <f t="shared" si="7"/>
        <v>16</v>
      </c>
      <c r="B17" s="2">
        <f t="shared" ca="1" si="0"/>
        <v>80</v>
      </c>
      <c r="C17" s="2">
        <f t="shared" ca="1" si="1"/>
        <v>9</v>
      </c>
      <c r="D17" s="2">
        <f t="shared" ca="1" si="8"/>
        <v>123</v>
      </c>
      <c r="E17" s="2">
        <v>133</v>
      </c>
      <c r="F17" s="2">
        <f t="shared" ca="1" si="2"/>
        <v>10</v>
      </c>
      <c r="G17" s="2">
        <f t="shared" si="3"/>
        <v>8</v>
      </c>
      <c r="H17" s="2">
        <f t="shared" ca="1" si="4"/>
        <v>59</v>
      </c>
      <c r="I17" s="2">
        <f t="shared" ca="1" si="5"/>
        <v>8</v>
      </c>
      <c r="J17" s="2">
        <v>141</v>
      </c>
      <c r="K17" s="2">
        <f t="shared" ca="1" si="6"/>
        <v>18</v>
      </c>
    </row>
    <row r="18" spans="1:11" x14ac:dyDescent="0.3">
      <c r="A18" s="2">
        <f t="shared" si="7"/>
        <v>17</v>
      </c>
      <c r="B18" s="2">
        <f t="shared" ca="1" si="0"/>
        <v>93</v>
      </c>
      <c r="C18" s="2">
        <f t="shared" ca="1" si="1"/>
        <v>9</v>
      </c>
      <c r="D18" s="2">
        <f t="shared" ca="1" si="8"/>
        <v>132</v>
      </c>
      <c r="E18" s="2">
        <v>141</v>
      </c>
      <c r="F18" s="2">
        <f t="shared" ca="1" si="2"/>
        <v>9</v>
      </c>
      <c r="G18" s="2">
        <f t="shared" si="3"/>
        <v>8</v>
      </c>
      <c r="H18" s="2">
        <f t="shared" ca="1" si="4"/>
        <v>81</v>
      </c>
      <c r="I18" s="2">
        <f t="shared" ca="1" si="5"/>
        <v>10</v>
      </c>
      <c r="J18" s="2">
        <v>149</v>
      </c>
      <c r="K18" s="2">
        <f t="shared" ca="1" si="6"/>
        <v>19</v>
      </c>
    </row>
    <row r="19" spans="1:11" x14ac:dyDescent="0.3">
      <c r="A19" s="2">
        <f t="shared" si="7"/>
        <v>18</v>
      </c>
      <c r="B19" s="2">
        <f t="shared" ca="1" si="0"/>
        <v>32</v>
      </c>
      <c r="C19" s="2">
        <f t="shared" ca="1" si="1"/>
        <v>7</v>
      </c>
      <c r="D19" s="2">
        <f t="shared" ca="1" si="8"/>
        <v>139</v>
      </c>
      <c r="E19" s="2">
        <v>149</v>
      </c>
      <c r="F19" s="2">
        <f t="shared" ca="1" si="2"/>
        <v>10</v>
      </c>
      <c r="G19" s="2">
        <f t="shared" si="3"/>
        <v>6</v>
      </c>
      <c r="H19" s="2">
        <f t="shared" ca="1" si="4"/>
        <v>74</v>
      </c>
      <c r="I19" s="2">
        <f t="shared" ca="1" si="5"/>
        <v>10</v>
      </c>
      <c r="J19" s="2">
        <v>155</v>
      </c>
      <c r="K19" s="2">
        <f t="shared" ca="1" si="6"/>
        <v>20</v>
      </c>
    </row>
    <row r="20" spans="1:11" x14ac:dyDescent="0.3">
      <c r="A20" s="2">
        <f t="shared" si="7"/>
        <v>19</v>
      </c>
      <c r="B20" s="2">
        <f t="shared" ca="1" si="0"/>
        <v>54</v>
      </c>
      <c r="C20" s="2">
        <f t="shared" ca="1" si="1"/>
        <v>8</v>
      </c>
      <c r="D20" s="2">
        <f t="shared" ca="1" si="8"/>
        <v>147</v>
      </c>
      <c r="E20" s="2">
        <v>155</v>
      </c>
      <c r="F20" s="2">
        <f t="shared" ca="1" si="2"/>
        <v>8</v>
      </c>
      <c r="G20" s="2">
        <f t="shared" si="3"/>
        <v>6</v>
      </c>
      <c r="H20" s="2">
        <f t="shared" ca="1" si="4"/>
        <v>24</v>
      </c>
      <c r="I20" s="2">
        <f t="shared" ca="1" si="5"/>
        <v>6</v>
      </c>
      <c r="J20" s="2">
        <v>161</v>
      </c>
      <c r="K20" s="2">
        <f t="shared" ca="1" si="6"/>
        <v>14</v>
      </c>
    </row>
    <row r="21" spans="1:11" x14ac:dyDescent="0.3">
      <c r="A21" s="2">
        <f>1+A20</f>
        <v>20</v>
      </c>
      <c r="B21" s="2">
        <f t="shared" ca="1" si="0"/>
        <v>99</v>
      </c>
      <c r="C21" s="2">
        <f t="shared" ca="1" si="1"/>
        <v>9</v>
      </c>
      <c r="D21" s="2">
        <f t="shared" ca="1" si="8"/>
        <v>156</v>
      </c>
      <c r="E21" s="2">
        <v>161</v>
      </c>
      <c r="F21" s="2">
        <f t="shared" ca="1" si="2"/>
        <v>5</v>
      </c>
      <c r="G21" s="2">
        <f t="shared" si="3"/>
        <v>10</v>
      </c>
      <c r="H21" s="2">
        <f t="shared" ca="1" si="4"/>
        <v>83</v>
      </c>
      <c r="I21" s="2">
        <f t="shared" ca="1" si="5"/>
        <v>10</v>
      </c>
      <c r="J21" s="2">
        <v>171</v>
      </c>
      <c r="K21" s="2">
        <f t="shared" ca="1" si="6"/>
        <v>15</v>
      </c>
    </row>
    <row r="22" spans="1:11" x14ac:dyDescent="0.3">
      <c r="A22" s="1" t="s">
        <v>11</v>
      </c>
      <c r="B22" s="3"/>
      <c r="C22" s="3"/>
      <c r="D22" s="3"/>
      <c r="E22" s="3"/>
      <c r="F22" s="1">
        <f ca="1">SUM(F2:F21)</f>
        <v>83</v>
      </c>
      <c r="G22" s="1">
        <f>SUM(G2:G21)</f>
        <v>156</v>
      </c>
      <c r="H22" s="1"/>
      <c r="I22" s="1">
        <f ca="1">SUM(I2:I21)</f>
        <v>154</v>
      </c>
      <c r="J22" s="3"/>
      <c r="K22" s="1">
        <f ca="1">SUM(K2:K21)</f>
        <v>237</v>
      </c>
    </row>
    <row r="24" spans="1:11" x14ac:dyDescent="0.3">
      <c r="B24" t="s">
        <v>25</v>
      </c>
      <c r="F24">
        <f ca="1">(F22+K22)/2</f>
        <v>160</v>
      </c>
    </row>
    <row r="26" spans="1:11" x14ac:dyDescent="0.3">
      <c r="B26" t="s">
        <v>26</v>
      </c>
      <c r="E26" t="s">
        <v>27</v>
      </c>
      <c r="F26">
        <f ca="1">(I22/J21)*100</f>
        <v>90.058479532163744</v>
      </c>
    </row>
    <row r="28" spans="1:11" x14ac:dyDescent="0.3">
      <c r="B28" t="s">
        <v>28</v>
      </c>
      <c r="F28">
        <f ca="1">100-F26</f>
        <v>9.9415204678362556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AEEF-E1BD-467C-A65F-E8C10ED11E72}">
  <dimension ref="A1:K29"/>
  <sheetViews>
    <sheetView tabSelected="1" topLeftCell="A10" zoomScale="112" zoomScaleNormal="112" workbookViewId="0">
      <selection activeCell="F35" sqref="F35"/>
    </sheetView>
  </sheetViews>
  <sheetFormatPr defaultRowHeight="14.4" x14ac:dyDescent="0.3"/>
  <cols>
    <col min="3" max="3" width="11.88671875" customWidth="1"/>
    <col min="4" max="4" width="12.44140625" customWidth="1"/>
    <col min="5" max="5" width="21.109375" customWidth="1"/>
    <col min="6" max="6" width="20" customWidth="1"/>
    <col min="7" max="7" width="24.6640625" customWidth="1"/>
    <col min="9" max="9" width="14" customWidth="1"/>
    <col min="10" max="10" width="15.88671875" customWidth="1"/>
  </cols>
  <sheetData>
    <row r="1" spans="1:1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3">
      <c r="A2" s="1" t="s">
        <v>2</v>
      </c>
      <c r="B2" s="1" t="s">
        <v>1</v>
      </c>
      <c r="C2" s="1" t="s">
        <v>23</v>
      </c>
      <c r="D2" s="1" t="s">
        <v>24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s="2">
        <v>1</v>
      </c>
      <c r="B3" s="2">
        <f ca="1">RANDBETWEEN(1,100)</f>
        <v>27</v>
      </c>
      <c r="C3" s="2">
        <f ca="1">IF(B3&lt;10,1,IF(B3&lt;40,2,IF(B3&lt;70,3,IF(B3&lt;90,4,5))))</f>
        <v>2</v>
      </c>
      <c r="D3" s="2">
        <f ca="1">C3</f>
        <v>2</v>
      </c>
      <c r="E3" s="2">
        <v>6</v>
      </c>
      <c r="F3" s="2">
        <f ca="1">IF(E3-D3&lt;0,0,E3-D3)</f>
        <v>4</v>
      </c>
      <c r="G3" s="2">
        <f>J3-E3</f>
        <v>8</v>
      </c>
      <c r="H3" s="2">
        <f ca="1">RANDBETWEEN(1,100)</f>
        <v>14</v>
      </c>
      <c r="I3" s="2">
        <f ca="1">IF(H3&lt;40,2,IF(H3&lt;80,3,4))</f>
        <v>2</v>
      </c>
      <c r="J3" s="2">
        <v>14</v>
      </c>
      <c r="K3" s="2">
        <f ca="1">F3+I3</f>
        <v>6</v>
      </c>
    </row>
    <row r="4" spans="1:11" x14ac:dyDescent="0.3">
      <c r="A4" s="2">
        <f>1+A3</f>
        <v>2</v>
      </c>
      <c r="B4" s="2">
        <f t="shared" ref="B4:B22" ca="1" si="0">RANDBETWEEN(1,100)</f>
        <v>42</v>
      </c>
      <c r="C4" s="2">
        <f t="shared" ref="C4:C22" ca="1" si="1">IF(B4&lt;10,1,IF(B4&lt;40,2,IF(B4&lt;70,3,IF(B4&lt;90,4,5))))</f>
        <v>3</v>
      </c>
      <c r="D4" s="2">
        <f ca="1">D3+C4</f>
        <v>5</v>
      </c>
      <c r="E4" s="2">
        <v>14</v>
      </c>
      <c r="F4" s="2">
        <f t="shared" ref="F4:F22" ca="1" si="2">IF(E4-D4&lt;0,0,E4-D4)</f>
        <v>9</v>
      </c>
      <c r="G4" s="2">
        <f t="shared" ref="G4:G22" si="3">J4-E4</f>
        <v>6</v>
      </c>
      <c r="H4" s="2">
        <f t="shared" ref="H4:H22" ca="1" si="4">RANDBETWEEN(1,100)</f>
        <v>51</v>
      </c>
      <c r="I4" s="2">
        <f t="shared" ref="I4:I22" ca="1" si="5">IF(H4&lt;40,2,IF(H4&lt;80,3,4))</f>
        <v>3</v>
      </c>
      <c r="J4" s="2">
        <v>20</v>
      </c>
      <c r="K4" s="2">
        <f t="shared" ref="K4:K22" ca="1" si="6">F4+I4</f>
        <v>12</v>
      </c>
    </row>
    <row r="5" spans="1:11" x14ac:dyDescent="0.3">
      <c r="A5" s="2">
        <f t="shared" ref="A5:A21" si="7">1+A4</f>
        <v>3</v>
      </c>
      <c r="B5" s="2">
        <f t="shared" ca="1" si="0"/>
        <v>26</v>
      </c>
      <c r="C5" s="2">
        <f t="shared" ca="1" si="1"/>
        <v>2</v>
      </c>
      <c r="D5" s="2">
        <f t="shared" ref="D5:D22" ca="1" si="8">D4+C5</f>
        <v>7</v>
      </c>
      <c r="E5" s="2">
        <v>20</v>
      </c>
      <c r="F5" s="2">
        <f t="shared" ca="1" si="2"/>
        <v>13</v>
      </c>
      <c r="G5" s="2">
        <f t="shared" si="3"/>
        <v>10</v>
      </c>
      <c r="H5" s="2">
        <f t="shared" ca="1" si="4"/>
        <v>54</v>
      </c>
      <c r="I5" s="2">
        <f t="shared" ca="1" si="5"/>
        <v>3</v>
      </c>
      <c r="J5" s="2">
        <v>30</v>
      </c>
      <c r="K5" s="2">
        <f t="shared" ca="1" si="6"/>
        <v>16</v>
      </c>
    </row>
    <row r="6" spans="1:11" x14ac:dyDescent="0.3">
      <c r="A6" s="2">
        <f t="shared" si="7"/>
        <v>4</v>
      </c>
      <c r="B6" s="2">
        <f t="shared" ca="1" si="0"/>
        <v>80</v>
      </c>
      <c r="C6" s="2">
        <f t="shared" ca="1" si="1"/>
        <v>4</v>
      </c>
      <c r="D6" s="2">
        <f t="shared" ca="1" si="8"/>
        <v>11</v>
      </c>
      <c r="E6" s="2">
        <v>30</v>
      </c>
      <c r="F6" s="2">
        <f t="shared" ca="1" si="2"/>
        <v>19</v>
      </c>
      <c r="G6" s="2">
        <f t="shared" si="3"/>
        <v>6</v>
      </c>
      <c r="H6" s="2">
        <f t="shared" ca="1" si="4"/>
        <v>48</v>
      </c>
      <c r="I6" s="2">
        <f t="shared" ca="1" si="5"/>
        <v>3</v>
      </c>
      <c r="J6" s="2">
        <v>36</v>
      </c>
      <c r="K6" s="2">
        <f t="shared" ca="1" si="6"/>
        <v>22</v>
      </c>
    </row>
    <row r="7" spans="1:11" x14ac:dyDescent="0.3">
      <c r="A7" s="2">
        <f t="shared" si="7"/>
        <v>5</v>
      </c>
      <c r="B7" s="2">
        <f t="shared" ca="1" si="0"/>
        <v>49</v>
      </c>
      <c r="C7" s="2">
        <f t="shared" ca="1" si="1"/>
        <v>3</v>
      </c>
      <c r="D7" s="2">
        <f t="shared" ca="1" si="8"/>
        <v>14</v>
      </c>
      <c r="E7" s="2">
        <v>37</v>
      </c>
      <c r="F7" s="2">
        <f t="shared" ca="1" si="2"/>
        <v>23</v>
      </c>
      <c r="G7" s="2">
        <f t="shared" si="3"/>
        <v>6</v>
      </c>
      <c r="H7" s="2">
        <f t="shared" ca="1" si="4"/>
        <v>33</v>
      </c>
      <c r="I7" s="2">
        <f t="shared" ca="1" si="5"/>
        <v>2</v>
      </c>
      <c r="J7" s="2">
        <v>43</v>
      </c>
      <c r="K7" s="2">
        <f t="shared" ca="1" si="6"/>
        <v>25</v>
      </c>
    </row>
    <row r="8" spans="1:11" x14ac:dyDescent="0.3">
      <c r="A8" s="2">
        <f t="shared" si="7"/>
        <v>6</v>
      </c>
      <c r="B8" s="2">
        <f t="shared" ca="1" si="0"/>
        <v>81</v>
      </c>
      <c r="C8" s="2">
        <f t="shared" ca="1" si="1"/>
        <v>4</v>
      </c>
      <c r="D8" s="2">
        <f t="shared" ca="1" si="8"/>
        <v>18</v>
      </c>
      <c r="E8" s="2">
        <v>44</v>
      </c>
      <c r="F8" s="2">
        <f t="shared" ca="1" si="2"/>
        <v>26</v>
      </c>
      <c r="G8" s="2">
        <f t="shared" si="3"/>
        <v>8</v>
      </c>
      <c r="H8" s="2">
        <f t="shared" ca="1" si="4"/>
        <v>8</v>
      </c>
      <c r="I8" s="2">
        <f t="shared" ca="1" si="5"/>
        <v>2</v>
      </c>
      <c r="J8" s="2">
        <v>52</v>
      </c>
      <c r="K8" s="2">
        <f t="shared" ca="1" si="6"/>
        <v>28</v>
      </c>
    </row>
    <row r="9" spans="1:11" x14ac:dyDescent="0.3">
      <c r="A9" s="2">
        <f t="shared" si="7"/>
        <v>7</v>
      </c>
      <c r="B9" s="2">
        <f t="shared" ca="1" si="0"/>
        <v>8</v>
      </c>
      <c r="C9" s="2">
        <f t="shared" ca="1" si="1"/>
        <v>1</v>
      </c>
      <c r="D9" s="2">
        <f t="shared" ca="1" si="8"/>
        <v>19</v>
      </c>
      <c r="E9" s="2">
        <v>54</v>
      </c>
      <c r="F9" s="2">
        <f t="shared" ca="1" si="2"/>
        <v>35</v>
      </c>
      <c r="G9" s="2">
        <f t="shared" si="3"/>
        <v>10</v>
      </c>
      <c r="H9" s="2">
        <f t="shared" ca="1" si="4"/>
        <v>6</v>
      </c>
      <c r="I9" s="2">
        <f t="shared" ca="1" si="5"/>
        <v>2</v>
      </c>
      <c r="J9" s="2">
        <v>64</v>
      </c>
      <c r="K9" s="2">
        <f t="shared" ca="1" si="6"/>
        <v>37</v>
      </c>
    </row>
    <row r="10" spans="1:11" x14ac:dyDescent="0.3">
      <c r="A10" s="2">
        <f t="shared" si="7"/>
        <v>8</v>
      </c>
      <c r="B10" s="2">
        <f t="shared" ca="1" si="0"/>
        <v>70</v>
      </c>
      <c r="C10" s="2">
        <f t="shared" ca="1" si="1"/>
        <v>4</v>
      </c>
      <c r="D10" s="2">
        <f t="shared" ca="1" si="8"/>
        <v>23</v>
      </c>
      <c r="E10" s="2">
        <v>64</v>
      </c>
      <c r="F10" s="2">
        <f t="shared" ca="1" si="2"/>
        <v>41</v>
      </c>
      <c r="G10" s="2">
        <f t="shared" si="3"/>
        <v>8</v>
      </c>
      <c r="H10" s="2">
        <f t="shared" ca="1" si="4"/>
        <v>16</v>
      </c>
      <c r="I10" s="2">
        <f t="shared" ca="1" si="5"/>
        <v>2</v>
      </c>
      <c r="J10" s="2">
        <v>72</v>
      </c>
      <c r="K10" s="2">
        <f t="shared" ca="1" si="6"/>
        <v>43</v>
      </c>
    </row>
    <row r="11" spans="1:11" x14ac:dyDescent="0.3">
      <c r="A11" s="2">
        <f t="shared" si="7"/>
        <v>9</v>
      </c>
      <c r="B11" s="2">
        <f t="shared" ca="1" si="0"/>
        <v>16</v>
      </c>
      <c r="C11" s="2">
        <f t="shared" ca="1" si="1"/>
        <v>2</v>
      </c>
      <c r="D11" s="2">
        <f t="shared" ca="1" si="8"/>
        <v>25</v>
      </c>
      <c r="E11" s="2">
        <v>72</v>
      </c>
      <c r="F11" s="2">
        <f t="shared" ca="1" si="2"/>
        <v>47</v>
      </c>
      <c r="G11" s="2">
        <f t="shared" si="3"/>
        <v>10</v>
      </c>
      <c r="H11" s="2">
        <f t="shared" ca="1" si="4"/>
        <v>84</v>
      </c>
      <c r="I11" s="2">
        <f t="shared" ca="1" si="5"/>
        <v>4</v>
      </c>
      <c r="J11" s="2">
        <v>82</v>
      </c>
      <c r="K11" s="2">
        <f t="shared" ca="1" si="6"/>
        <v>51</v>
      </c>
    </row>
    <row r="12" spans="1:11" x14ac:dyDescent="0.3">
      <c r="A12" s="2">
        <f t="shared" si="7"/>
        <v>10</v>
      </c>
      <c r="B12" s="2">
        <f t="shared" ca="1" si="0"/>
        <v>7</v>
      </c>
      <c r="C12" s="2">
        <f t="shared" ca="1" si="1"/>
        <v>1</v>
      </c>
      <c r="D12" s="2">
        <f t="shared" ca="1" si="8"/>
        <v>26</v>
      </c>
      <c r="E12" s="2">
        <v>82</v>
      </c>
      <c r="F12" s="2">
        <f t="shared" ca="1" si="2"/>
        <v>56</v>
      </c>
      <c r="G12" s="2">
        <f t="shared" si="3"/>
        <v>6</v>
      </c>
      <c r="H12" s="2">
        <f t="shared" ca="1" si="4"/>
        <v>49</v>
      </c>
      <c r="I12" s="2">
        <f t="shared" ca="1" si="5"/>
        <v>3</v>
      </c>
      <c r="J12" s="2">
        <v>88</v>
      </c>
      <c r="K12" s="2">
        <f t="shared" ca="1" si="6"/>
        <v>59</v>
      </c>
    </row>
    <row r="13" spans="1:11" x14ac:dyDescent="0.3">
      <c r="A13" s="2">
        <f t="shared" si="7"/>
        <v>11</v>
      </c>
      <c r="B13" s="2">
        <f t="shared" ca="1" si="0"/>
        <v>88</v>
      </c>
      <c r="C13" s="2">
        <f t="shared" ca="1" si="1"/>
        <v>4</v>
      </c>
      <c r="D13" s="2">
        <f t="shared" ca="1" si="8"/>
        <v>30</v>
      </c>
      <c r="E13" s="2">
        <v>88</v>
      </c>
      <c r="F13" s="2">
        <f t="shared" ca="1" si="2"/>
        <v>58</v>
      </c>
      <c r="G13" s="2">
        <f t="shared" si="3"/>
        <v>10</v>
      </c>
      <c r="H13" s="2">
        <f t="shared" ca="1" si="4"/>
        <v>93</v>
      </c>
      <c r="I13" s="2">
        <f t="shared" ca="1" si="5"/>
        <v>4</v>
      </c>
      <c r="J13" s="2">
        <v>98</v>
      </c>
      <c r="K13" s="2">
        <f t="shared" ca="1" si="6"/>
        <v>62</v>
      </c>
    </row>
    <row r="14" spans="1:11" x14ac:dyDescent="0.3">
      <c r="A14" s="2">
        <f t="shared" si="7"/>
        <v>12</v>
      </c>
      <c r="B14" s="2">
        <f t="shared" ca="1" si="0"/>
        <v>41</v>
      </c>
      <c r="C14" s="2">
        <f t="shared" ca="1" si="1"/>
        <v>3</v>
      </c>
      <c r="D14" s="2">
        <f t="shared" ca="1" si="8"/>
        <v>33</v>
      </c>
      <c r="E14" s="2">
        <v>98</v>
      </c>
      <c r="F14" s="2">
        <f t="shared" ca="1" si="2"/>
        <v>65</v>
      </c>
      <c r="G14" s="2">
        <f t="shared" si="3"/>
        <v>6</v>
      </c>
      <c r="H14" s="2">
        <f t="shared" ca="1" si="4"/>
        <v>53</v>
      </c>
      <c r="I14" s="2">
        <f t="shared" ca="1" si="5"/>
        <v>3</v>
      </c>
      <c r="J14" s="2">
        <v>104</v>
      </c>
      <c r="K14" s="2">
        <f t="shared" ca="1" si="6"/>
        <v>68</v>
      </c>
    </row>
    <row r="15" spans="1:11" x14ac:dyDescent="0.3">
      <c r="A15" s="2">
        <f t="shared" si="7"/>
        <v>13</v>
      </c>
      <c r="B15" s="2">
        <f t="shared" ca="1" si="0"/>
        <v>6</v>
      </c>
      <c r="C15" s="2">
        <f t="shared" ca="1" si="1"/>
        <v>1</v>
      </c>
      <c r="D15" s="2">
        <f t="shared" ca="1" si="8"/>
        <v>34</v>
      </c>
      <c r="E15" s="2">
        <v>104</v>
      </c>
      <c r="F15" s="2">
        <f t="shared" ca="1" si="2"/>
        <v>70</v>
      </c>
      <c r="G15" s="2">
        <f t="shared" si="3"/>
        <v>8</v>
      </c>
      <c r="H15" s="2">
        <f t="shared" ca="1" si="4"/>
        <v>85</v>
      </c>
      <c r="I15" s="2">
        <f t="shared" ca="1" si="5"/>
        <v>4</v>
      </c>
      <c r="J15" s="2">
        <v>112</v>
      </c>
      <c r="K15" s="2">
        <f t="shared" ca="1" si="6"/>
        <v>74</v>
      </c>
    </row>
    <row r="16" spans="1:11" x14ac:dyDescent="0.3">
      <c r="A16" s="2">
        <f t="shared" si="7"/>
        <v>14</v>
      </c>
      <c r="B16" s="2">
        <f t="shared" ca="1" si="0"/>
        <v>92</v>
      </c>
      <c r="C16" s="2">
        <f t="shared" ca="1" si="1"/>
        <v>5</v>
      </c>
      <c r="D16" s="2">
        <f t="shared" ca="1" si="8"/>
        <v>39</v>
      </c>
      <c r="E16" s="2">
        <v>113</v>
      </c>
      <c r="F16" s="2">
        <f t="shared" ca="1" si="2"/>
        <v>74</v>
      </c>
      <c r="G16" s="2">
        <f t="shared" si="3"/>
        <v>6</v>
      </c>
      <c r="H16" s="2">
        <f t="shared" ca="1" si="4"/>
        <v>62</v>
      </c>
      <c r="I16" s="2">
        <f t="shared" ca="1" si="5"/>
        <v>3</v>
      </c>
      <c r="J16" s="2">
        <v>119</v>
      </c>
      <c r="K16" s="2">
        <f t="shared" ca="1" si="6"/>
        <v>77</v>
      </c>
    </row>
    <row r="17" spans="1:11" x14ac:dyDescent="0.3">
      <c r="A17" s="2">
        <f t="shared" si="7"/>
        <v>15</v>
      </c>
      <c r="B17" s="2">
        <f t="shared" ca="1" si="0"/>
        <v>91</v>
      </c>
      <c r="C17" s="2">
        <f t="shared" ca="1" si="1"/>
        <v>5</v>
      </c>
      <c r="D17" s="2">
        <f t="shared" ca="1" si="8"/>
        <v>44</v>
      </c>
      <c r="E17" s="2">
        <v>123</v>
      </c>
      <c r="F17" s="2">
        <f t="shared" ca="1" si="2"/>
        <v>79</v>
      </c>
      <c r="G17" s="2">
        <f t="shared" si="3"/>
        <v>10</v>
      </c>
      <c r="H17" s="2">
        <f t="shared" ca="1" si="4"/>
        <v>67</v>
      </c>
      <c r="I17" s="2">
        <f t="shared" ca="1" si="5"/>
        <v>3</v>
      </c>
      <c r="J17" s="2">
        <v>133</v>
      </c>
      <c r="K17" s="2">
        <f t="shared" ca="1" si="6"/>
        <v>82</v>
      </c>
    </row>
    <row r="18" spans="1:11" x14ac:dyDescent="0.3">
      <c r="A18" s="2">
        <f t="shared" si="7"/>
        <v>16</v>
      </c>
      <c r="B18" s="2">
        <f t="shared" ca="1" si="0"/>
        <v>26</v>
      </c>
      <c r="C18" s="2">
        <f t="shared" ca="1" si="1"/>
        <v>2</v>
      </c>
      <c r="D18" s="2">
        <f t="shared" ca="1" si="8"/>
        <v>46</v>
      </c>
      <c r="E18" s="2">
        <v>133</v>
      </c>
      <c r="F18" s="2">
        <f t="shared" ca="1" si="2"/>
        <v>87</v>
      </c>
      <c r="G18" s="2">
        <f t="shared" si="3"/>
        <v>8</v>
      </c>
      <c r="H18" s="2">
        <f t="shared" ca="1" si="4"/>
        <v>54</v>
      </c>
      <c r="I18" s="2">
        <f t="shared" ca="1" si="5"/>
        <v>3</v>
      </c>
      <c r="J18" s="2">
        <v>141</v>
      </c>
      <c r="K18" s="2">
        <f t="shared" ca="1" si="6"/>
        <v>90</v>
      </c>
    </row>
    <row r="19" spans="1:11" x14ac:dyDescent="0.3">
      <c r="A19" s="2">
        <f t="shared" si="7"/>
        <v>17</v>
      </c>
      <c r="B19" s="2">
        <f t="shared" ca="1" si="0"/>
        <v>66</v>
      </c>
      <c r="C19" s="2">
        <f t="shared" ca="1" si="1"/>
        <v>3</v>
      </c>
      <c r="D19" s="2">
        <f t="shared" ca="1" si="8"/>
        <v>49</v>
      </c>
      <c r="E19" s="2">
        <v>141</v>
      </c>
      <c r="F19" s="2">
        <f t="shared" ca="1" si="2"/>
        <v>92</v>
      </c>
      <c r="G19" s="2">
        <f t="shared" si="3"/>
        <v>8</v>
      </c>
      <c r="H19" s="2">
        <f t="shared" ca="1" si="4"/>
        <v>27</v>
      </c>
      <c r="I19" s="2">
        <f t="shared" ca="1" si="5"/>
        <v>2</v>
      </c>
      <c r="J19" s="2">
        <v>149</v>
      </c>
      <c r="K19" s="2">
        <f t="shared" ca="1" si="6"/>
        <v>94</v>
      </c>
    </row>
    <row r="20" spans="1:11" x14ac:dyDescent="0.3">
      <c r="A20" s="2">
        <f t="shared" si="7"/>
        <v>18</v>
      </c>
      <c r="B20" s="2">
        <f t="shared" ca="1" si="0"/>
        <v>47</v>
      </c>
      <c r="C20" s="2">
        <f t="shared" ca="1" si="1"/>
        <v>3</v>
      </c>
      <c r="D20" s="2">
        <f t="shared" ca="1" si="8"/>
        <v>52</v>
      </c>
      <c r="E20" s="2">
        <v>149</v>
      </c>
      <c r="F20" s="2">
        <f t="shared" ca="1" si="2"/>
        <v>97</v>
      </c>
      <c r="G20" s="2">
        <f t="shared" si="3"/>
        <v>6</v>
      </c>
      <c r="H20" s="2">
        <f t="shared" ca="1" si="4"/>
        <v>60</v>
      </c>
      <c r="I20" s="2">
        <f t="shared" ca="1" si="5"/>
        <v>3</v>
      </c>
      <c r="J20" s="2">
        <v>155</v>
      </c>
      <c r="K20" s="2">
        <f t="shared" ca="1" si="6"/>
        <v>100</v>
      </c>
    </row>
    <row r="21" spans="1:11" x14ac:dyDescent="0.3">
      <c r="A21" s="2">
        <f t="shared" si="7"/>
        <v>19</v>
      </c>
      <c r="B21" s="2">
        <f t="shared" ca="1" si="0"/>
        <v>35</v>
      </c>
      <c r="C21" s="2">
        <f t="shared" ca="1" si="1"/>
        <v>2</v>
      </c>
      <c r="D21" s="2">
        <f t="shared" ca="1" si="8"/>
        <v>54</v>
      </c>
      <c r="E21" s="2">
        <v>155</v>
      </c>
      <c r="F21" s="2">
        <f t="shared" ca="1" si="2"/>
        <v>101</v>
      </c>
      <c r="G21" s="2">
        <f t="shared" si="3"/>
        <v>6</v>
      </c>
      <c r="H21" s="2">
        <f t="shared" ca="1" si="4"/>
        <v>62</v>
      </c>
      <c r="I21" s="2">
        <f t="shared" ca="1" si="5"/>
        <v>3</v>
      </c>
      <c r="J21" s="2">
        <v>161</v>
      </c>
      <c r="K21" s="2">
        <f t="shared" ca="1" si="6"/>
        <v>104</v>
      </c>
    </row>
    <row r="22" spans="1:11" x14ac:dyDescent="0.3">
      <c r="A22" s="2">
        <f>1+A21</f>
        <v>20</v>
      </c>
      <c r="B22" s="2">
        <f t="shared" ca="1" si="0"/>
        <v>22</v>
      </c>
      <c r="C22" s="2">
        <f t="shared" ca="1" si="1"/>
        <v>2</v>
      </c>
      <c r="D22" s="2">
        <f t="shared" ca="1" si="8"/>
        <v>56</v>
      </c>
      <c r="E22" s="2">
        <v>161</v>
      </c>
      <c r="F22" s="2">
        <f t="shared" ca="1" si="2"/>
        <v>105</v>
      </c>
      <c r="G22" s="2">
        <f t="shared" si="3"/>
        <v>10</v>
      </c>
      <c r="H22" s="2">
        <f t="shared" ca="1" si="4"/>
        <v>47</v>
      </c>
      <c r="I22" s="2">
        <f t="shared" ca="1" si="5"/>
        <v>3</v>
      </c>
      <c r="J22" s="2">
        <v>171</v>
      </c>
      <c r="K22" s="2">
        <f t="shared" ca="1" si="6"/>
        <v>108</v>
      </c>
    </row>
    <row r="23" spans="1:11" x14ac:dyDescent="0.3">
      <c r="A23" s="1" t="s">
        <v>11</v>
      </c>
      <c r="B23" s="3"/>
      <c r="C23" s="3"/>
      <c r="D23" s="3"/>
      <c r="E23" s="3"/>
      <c r="F23" s="1">
        <f ca="1">SUM(F3:F22)</f>
        <v>1101</v>
      </c>
      <c r="G23" s="1">
        <f>SUM(G3:G22)</f>
        <v>156</v>
      </c>
      <c r="H23" s="1"/>
      <c r="I23" s="1">
        <f ca="1">SUM(I3:I22)</f>
        <v>57</v>
      </c>
      <c r="J23" s="3"/>
      <c r="K23" s="1">
        <f ca="1">SUM(K3:K22)</f>
        <v>1158</v>
      </c>
    </row>
    <row r="25" spans="1:11" x14ac:dyDescent="0.3">
      <c r="B25" t="s">
        <v>25</v>
      </c>
      <c r="F25">
        <f ca="1">(F23+K23)/2</f>
        <v>1129.5</v>
      </c>
    </row>
    <row r="27" spans="1:11" x14ac:dyDescent="0.3">
      <c r="B27" t="s">
        <v>26</v>
      </c>
      <c r="F27">
        <f ca="1">(I23/J22)*100</f>
        <v>33.333333333333329</v>
      </c>
    </row>
    <row r="29" spans="1:11" x14ac:dyDescent="0.3">
      <c r="B29" t="s">
        <v>28</v>
      </c>
      <c r="F29">
        <f ca="1">(100-F27)</f>
        <v>66.666666666666671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mirayarslan2254@gmail.com</dc:creator>
  <cp:lastModifiedBy>VOLKAN TIKIR</cp:lastModifiedBy>
  <dcterms:created xsi:type="dcterms:W3CDTF">2025-12-12T09:13:46Z</dcterms:created>
  <dcterms:modified xsi:type="dcterms:W3CDTF">2026-01-02T14:05:44Z</dcterms:modified>
</cp:coreProperties>
</file>