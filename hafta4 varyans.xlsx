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lkantikir\Desktop\"/>
    </mc:Choice>
  </mc:AlternateContent>
  <xr:revisionPtr revIDLastSave="0" documentId="8_{5898DCCE-DDDD-4DFB-AAB6-318A9DE492F4}" xr6:coauthVersionLast="47" xr6:coauthVersionMax="47" xr10:uidLastSave="{00000000-0000-0000-0000-000000000000}"/>
  <bookViews>
    <workbookView xWindow="-120" yWindow="-120" windowWidth="29040" windowHeight="15840" xr2:uid="{78EC5CA2-5DD8-4C3D-B17C-58499A6D72F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4" i="1" l="1"/>
  <c r="W15" i="1"/>
  <c r="W16" i="1"/>
  <c r="W17" i="1"/>
  <c r="W18" i="1"/>
  <c r="W19" i="1"/>
  <c r="W20" i="1"/>
  <c r="W21" i="1"/>
  <c r="W22" i="1"/>
  <c r="W23" i="1"/>
  <c r="X12" i="1"/>
  <c r="V12" i="1"/>
  <c r="C1" i="1"/>
  <c r="K8" i="1"/>
  <c r="K9" i="1" s="1"/>
  <c r="E11" i="1"/>
  <c r="K7" i="1"/>
  <c r="K6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</calcChain>
</file>

<file path=xl/sharedStrings.xml><?xml version="1.0" encoding="utf-8"?>
<sst xmlns="http://schemas.openxmlformats.org/spreadsheetml/2006/main" count="11" uniqueCount="11">
  <si>
    <r>
      <rPr>
        <sz val="8"/>
        <color theme="1"/>
        <rFont val="Calibri"/>
        <family val="2"/>
        <charset val="162"/>
        <scheme val="minor"/>
      </rPr>
      <t>ORTALAMA</t>
    </r>
    <r>
      <rPr>
        <sz val="11"/>
        <color theme="1"/>
        <rFont val="Calibri"/>
        <family val="2"/>
        <charset val="162"/>
        <scheme val="minor"/>
      </rPr>
      <t>=</t>
    </r>
  </si>
  <si>
    <t>medyan</t>
  </si>
  <si>
    <t>standart sapma</t>
  </si>
  <si>
    <t>varyans</t>
  </si>
  <si>
    <t>standart sapma başka formül</t>
  </si>
  <si>
    <t>varyans formul</t>
  </si>
  <si>
    <t>varyans sınavda çıkar</t>
  </si>
  <si>
    <t>gözlem fre</t>
  </si>
  <si>
    <t>teorik fre</t>
  </si>
  <si>
    <t>x2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</si>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</sst>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318C-1F8A-4340-AE2F-584B3B532E64}">
  <dimension ref="A1:Z40"/>
  <sheetViews>
    <sheetView tabSelected="1" zoomScale="85" zoomScaleNormal="85" workbookViewId="0">
      <selection activeCell="Y20" sqref="Y20"/>
    </sheetView>
  </sheetViews>
  <sheetFormatPr defaultRowHeight="15" x14ac:dyDescent="0.25"/>
  <sheetData>
    <row r="1" spans="1:26" x14ac:dyDescent="0.25">
      <c r="A1" s="1">
        <v>38</v>
      </c>
      <c r="B1">
        <v>54.7</v>
      </c>
      <c r="C1">
        <f>(A1-B1)*(A1-B1)</f>
        <v>278.8900000000001</v>
      </c>
      <c r="V1" t="s">
        <v>7</v>
      </c>
      <c r="X1" t="s">
        <v>8</v>
      </c>
      <c r="Z1" t="s">
        <v>9</v>
      </c>
    </row>
    <row r="2" spans="1:26" x14ac:dyDescent="0.25">
      <c r="A2" s="1">
        <v>48</v>
      </c>
      <c r="B2">
        <v>54.7</v>
      </c>
      <c r="C2">
        <f t="shared" ref="C2:C40" si="0">(A2-B2)*(A2-B2)</f>
        <v>44.890000000000036</v>
      </c>
      <c r="V2">
        <v>62</v>
      </c>
      <c r="X2">
        <v>50</v>
      </c>
    </row>
    <row r="3" spans="1:26" x14ac:dyDescent="0.25">
      <c r="A3" s="1">
        <v>56</v>
      </c>
      <c r="B3">
        <v>54.7</v>
      </c>
      <c r="C3">
        <f t="shared" si="0"/>
        <v>1.6899999999999926</v>
      </c>
      <c r="V3">
        <v>58</v>
      </c>
      <c r="X3">
        <v>50</v>
      </c>
    </row>
    <row r="4" spans="1:26" x14ac:dyDescent="0.25">
      <c r="A4" s="1">
        <v>62</v>
      </c>
      <c r="B4">
        <v>54.7</v>
      </c>
      <c r="C4">
        <f t="shared" si="0"/>
        <v>53.289999999999957</v>
      </c>
      <c r="V4">
        <v>36</v>
      </c>
      <c r="X4">
        <v>50</v>
      </c>
    </row>
    <row r="5" spans="1:26" ht="15.75" thickBot="1" x14ac:dyDescent="0.3">
      <c r="A5" s="1">
        <v>41</v>
      </c>
      <c r="B5">
        <v>54.7</v>
      </c>
      <c r="C5">
        <f t="shared" si="0"/>
        <v>187.69000000000008</v>
      </c>
      <c r="N5" t="s">
        <v>4</v>
      </c>
      <c r="V5">
        <v>28</v>
      </c>
      <c r="X5">
        <v>50</v>
      </c>
    </row>
    <row r="6" spans="1:26" x14ac:dyDescent="0.25">
      <c r="A6" s="1">
        <v>48</v>
      </c>
      <c r="B6">
        <v>54.7</v>
      </c>
      <c r="C6">
        <f t="shared" si="0"/>
        <v>44.890000000000036</v>
      </c>
      <c r="J6" s="2" t="s">
        <v>0</v>
      </c>
      <c r="K6" s="3">
        <f>AVERAGE(A1:A40)</f>
        <v>54.7</v>
      </c>
      <c r="V6">
        <v>40</v>
      </c>
      <c r="X6">
        <v>50</v>
      </c>
    </row>
    <row r="7" spans="1:26" x14ac:dyDescent="0.25">
      <c r="A7" s="1">
        <v>57</v>
      </c>
      <c r="B7">
        <v>54.7</v>
      </c>
      <c r="C7">
        <f t="shared" si="0"/>
        <v>5.2899999999999867</v>
      </c>
      <c r="J7" s="4" t="s">
        <v>1</v>
      </c>
      <c r="K7" s="5">
        <f>MEDIAN(A1:A40)</f>
        <v>55</v>
      </c>
      <c r="V7">
        <v>70</v>
      </c>
      <c r="X7">
        <v>50</v>
      </c>
    </row>
    <row r="8" spans="1:26" x14ac:dyDescent="0.25">
      <c r="A8" s="1">
        <v>62</v>
      </c>
      <c r="B8">
        <v>54.7</v>
      </c>
      <c r="C8">
        <f t="shared" si="0"/>
        <v>53.289999999999957</v>
      </c>
      <c r="J8" s="4" t="s">
        <v>2</v>
      </c>
      <c r="K8" s="5">
        <f>_xlfn.STDEV.S(A1:A40)</f>
        <v>9.0616124675920879</v>
      </c>
      <c r="V8">
        <v>60</v>
      </c>
      <c r="X8">
        <v>50</v>
      </c>
    </row>
    <row r="9" spans="1:26" ht="15.75" thickBot="1" x14ac:dyDescent="0.3">
      <c r="A9" s="1">
        <v>42</v>
      </c>
      <c r="B9">
        <v>54.7</v>
      </c>
      <c r="C9">
        <f t="shared" si="0"/>
        <v>161.29000000000008</v>
      </c>
      <c r="J9" s="6" t="s">
        <v>3</v>
      </c>
      <c r="K9" s="7">
        <f>K8^2</f>
        <v>82.112820512820363</v>
      </c>
      <c r="V9">
        <v>40</v>
      </c>
      <c r="X9">
        <v>50</v>
      </c>
    </row>
    <row r="10" spans="1:26" x14ac:dyDescent="0.25">
      <c r="A10" s="1">
        <v>49</v>
      </c>
      <c r="B10">
        <v>54.7</v>
      </c>
      <c r="C10">
        <f t="shared" si="0"/>
        <v>32.49000000000003</v>
      </c>
      <c r="E10" t="s">
        <v>5</v>
      </c>
      <c r="V10">
        <v>72</v>
      </c>
      <c r="X10">
        <v>50</v>
      </c>
    </row>
    <row r="11" spans="1:26" x14ac:dyDescent="0.25">
      <c r="A11" s="1">
        <v>57</v>
      </c>
      <c r="B11">
        <v>54.7</v>
      </c>
      <c r="C11">
        <f t="shared" si="0"/>
        <v>5.2899999999999867</v>
      </c>
      <c r="E11">
        <f>SUM(C1:C40)/39</f>
        <v>82.112820512820491</v>
      </c>
      <c r="V11">
        <v>34</v>
      </c>
      <c r="X11">
        <v>50</v>
      </c>
    </row>
    <row r="12" spans="1:26" x14ac:dyDescent="0.25">
      <c r="A12" s="1">
        <v>63</v>
      </c>
      <c r="B12">
        <v>54.7</v>
      </c>
      <c r="C12">
        <f t="shared" si="0"/>
        <v>68.889999999999958</v>
      </c>
      <c r="U12" t="s">
        <v>10</v>
      </c>
      <c r="V12">
        <f>SUM(V2:V11)</f>
        <v>500</v>
      </c>
      <c r="X12">
        <f>SUM(X2:X11)</f>
        <v>500</v>
      </c>
    </row>
    <row r="13" spans="1:26" x14ac:dyDescent="0.25">
      <c r="A13" s="1">
        <v>42</v>
      </c>
      <c r="B13">
        <v>54.7</v>
      </c>
      <c r="C13">
        <f t="shared" si="0"/>
        <v>161.29000000000008</v>
      </c>
    </row>
    <row r="14" spans="1:26" x14ac:dyDescent="0.25">
      <c r="A14" s="1">
        <v>50</v>
      </c>
      <c r="B14">
        <v>54.7</v>
      </c>
      <c r="C14">
        <f t="shared" si="0"/>
        <v>22.090000000000028</v>
      </c>
      <c r="W14">
        <f>(V2-X2)^2/X2</f>
        <v>2.88</v>
      </c>
    </row>
    <row r="15" spans="1:26" x14ac:dyDescent="0.25">
      <c r="A15" s="1">
        <v>58</v>
      </c>
      <c r="B15">
        <v>54.7</v>
      </c>
      <c r="C15">
        <f t="shared" si="0"/>
        <v>10.889999999999981</v>
      </c>
      <c r="P15" t="s">
        <v>6</v>
      </c>
      <c r="W15">
        <f t="shared" ref="W15:W23" si="1">(V3-X3)^2/X3</f>
        <v>1.28</v>
      </c>
    </row>
    <row r="16" spans="1:26" x14ac:dyDescent="0.25">
      <c r="A16" s="1">
        <v>64</v>
      </c>
      <c r="B16">
        <v>54.7</v>
      </c>
      <c r="C16">
        <f t="shared" si="0"/>
        <v>86.489999999999952</v>
      </c>
      <c r="W16">
        <f t="shared" si="1"/>
        <v>3.92</v>
      </c>
    </row>
    <row r="17" spans="1:23" x14ac:dyDescent="0.25">
      <c r="A17" s="1">
        <v>42</v>
      </c>
      <c r="B17">
        <v>54.7</v>
      </c>
      <c r="C17">
        <f t="shared" si="0"/>
        <v>161.29000000000008</v>
      </c>
      <c r="W17">
        <f t="shared" si="1"/>
        <v>9.68</v>
      </c>
    </row>
    <row r="18" spans="1:23" x14ac:dyDescent="0.25">
      <c r="A18" s="1">
        <v>50</v>
      </c>
      <c r="B18">
        <v>54.7</v>
      </c>
      <c r="C18">
        <f t="shared" si="0"/>
        <v>22.090000000000028</v>
      </c>
      <c r="W18">
        <f t="shared" si="1"/>
        <v>2</v>
      </c>
    </row>
    <row r="19" spans="1:23" x14ac:dyDescent="0.25">
      <c r="A19" s="1">
        <v>60</v>
      </c>
      <c r="B19">
        <v>54.7</v>
      </c>
      <c r="C19">
        <f t="shared" si="0"/>
        <v>28.089999999999971</v>
      </c>
      <c r="W19">
        <f t="shared" si="1"/>
        <v>8</v>
      </c>
    </row>
    <row r="20" spans="1:23" x14ac:dyDescent="0.25">
      <c r="A20" s="1">
        <v>65</v>
      </c>
      <c r="B20">
        <v>54.7</v>
      </c>
      <c r="C20">
        <f t="shared" si="0"/>
        <v>106.08999999999995</v>
      </c>
      <c r="W20">
        <f t="shared" si="1"/>
        <v>2</v>
      </c>
    </row>
    <row r="21" spans="1:23" x14ac:dyDescent="0.25">
      <c r="A21" s="1">
        <v>42</v>
      </c>
      <c r="B21">
        <v>54.7</v>
      </c>
      <c r="C21">
        <f t="shared" si="0"/>
        <v>161.29000000000008</v>
      </c>
      <c r="W21">
        <f t="shared" si="1"/>
        <v>2</v>
      </c>
    </row>
    <row r="22" spans="1:23" x14ac:dyDescent="0.25">
      <c r="A22" s="1">
        <v>51</v>
      </c>
      <c r="B22">
        <v>54.7</v>
      </c>
      <c r="C22">
        <f t="shared" si="0"/>
        <v>13.690000000000021</v>
      </c>
      <c r="W22">
        <f t="shared" si="1"/>
        <v>9.68</v>
      </c>
    </row>
    <row r="23" spans="1:23" x14ac:dyDescent="0.25">
      <c r="A23" s="1">
        <v>60</v>
      </c>
      <c r="B23">
        <v>54.7</v>
      </c>
      <c r="C23">
        <f t="shared" si="0"/>
        <v>28.089999999999971</v>
      </c>
      <c r="W23">
        <f t="shared" si="1"/>
        <v>5.12</v>
      </c>
    </row>
    <row r="24" spans="1:23" x14ac:dyDescent="0.25">
      <c r="A24" s="1">
        <v>66</v>
      </c>
      <c r="B24">
        <v>54.7</v>
      </c>
      <c r="C24">
        <f t="shared" si="0"/>
        <v>127.68999999999994</v>
      </c>
    </row>
    <row r="25" spans="1:23" x14ac:dyDescent="0.25">
      <c r="A25" s="1">
        <v>45</v>
      </c>
      <c r="B25">
        <v>54.7</v>
      </c>
      <c r="C25">
        <f t="shared" si="0"/>
        <v>94.09000000000006</v>
      </c>
    </row>
    <row r="26" spans="1:23" x14ac:dyDescent="0.25">
      <c r="A26" s="1">
        <v>53</v>
      </c>
      <c r="B26">
        <v>54.7</v>
      </c>
      <c r="C26">
        <f t="shared" si="0"/>
        <v>2.8900000000000095</v>
      </c>
    </row>
    <row r="27" spans="1:23" x14ac:dyDescent="0.25">
      <c r="A27" s="1">
        <v>61</v>
      </c>
      <c r="B27">
        <v>54.7</v>
      </c>
      <c r="C27">
        <f t="shared" si="0"/>
        <v>39.689999999999962</v>
      </c>
    </row>
    <row r="28" spans="1:23" x14ac:dyDescent="0.25">
      <c r="A28" s="1">
        <v>67</v>
      </c>
      <c r="B28">
        <v>54.7</v>
      </c>
      <c r="C28">
        <f t="shared" si="0"/>
        <v>151.28999999999994</v>
      </c>
    </row>
    <row r="29" spans="1:23" x14ac:dyDescent="0.25">
      <c r="A29" s="1">
        <v>45</v>
      </c>
      <c r="B29">
        <v>54.7</v>
      </c>
      <c r="C29">
        <f t="shared" si="0"/>
        <v>94.09000000000006</v>
      </c>
    </row>
    <row r="30" spans="1:23" x14ac:dyDescent="0.25">
      <c r="A30" s="1">
        <v>53</v>
      </c>
      <c r="B30">
        <v>54.7</v>
      </c>
      <c r="C30">
        <f t="shared" si="0"/>
        <v>2.8900000000000095</v>
      </c>
    </row>
    <row r="31" spans="1:23" x14ac:dyDescent="0.25">
      <c r="A31" s="1">
        <v>61</v>
      </c>
      <c r="B31">
        <v>54.7</v>
      </c>
      <c r="C31">
        <f t="shared" si="0"/>
        <v>39.689999999999962</v>
      </c>
    </row>
    <row r="32" spans="1:23" x14ac:dyDescent="0.25">
      <c r="A32" s="1">
        <v>68</v>
      </c>
      <c r="B32">
        <v>54.7</v>
      </c>
      <c r="C32">
        <f t="shared" si="0"/>
        <v>176.88999999999993</v>
      </c>
    </row>
    <row r="33" spans="1:3" x14ac:dyDescent="0.25">
      <c r="A33" s="1">
        <v>45</v>
      </c>
      <c r="B33">
        <v>54.7</v>
      </c>
      <c r="C33">
        <f t="shared" si="0"/>
        <v>94.09000000000006</v>
      </c>
    </row>
    <row r="34" spans="1:3" x14ac:dyDescent="0.25">
      <c r="A34" s="1">
        <v>54</v>
      </c>
      <c r="B34">
        <v>54.7</v>
      </c>
      <c r="C34">
        <f t="shared" si="0"/>
        <v>0.49000000000000399</v>
      </c>
    </row>
    <row r="35" spans="1:3" x14ac:dyDescent="0.25">
      <c r="A35" s="1">
        <v>61</v>
      </c>
      <c r="B35">
        <v>54.7</v>
      </c>
      <c r="C35">
        <f t="shared" si="0"/>
        <v>39.689999999999962</v>
      </c>
    </row>
    <row r="36" spans="1:3" x14ac:dyDescent="0.25">
      <c r="A36" s="1">
        <v>69</v>
      </c>
      <c r="B36">
        <v>54.7</v>
      </c>
      <c r="C36">
        <f t="shared" si="0"/>
        <v>204.48999999999992</v>
      </c>
    </row>
    <row r="37" spans="1:3" x14ac:dyDescent="0.25">
      <c r="A37" s="1">
        <v>46</v>
      </c>
      <c r="B37">
        <v>54.7</v>
      </c>
      <c r="C37">
        <f t="shared" si="0"/>
        <v>75.690000000000055</v>
      </c>
    </row>
    <row r="38" spans="1:3" x14ac:dyDescent="0.25">
      <c r="A38" s="1">
        <v>54</v>
      </c>
      <c r="B38">
        <v>54.7</v>
      </c>
      <c r="C38">
        <f t="shared" si="0"/>
        <v>0.49000000000000399</v>
      </c>
    </row>
    <row r="39" spans="1:3" x14ac:dyDescent="0.25">
      <c r="A39" s="1">
        <v>62</v>
      </c>
      <c r="B39">
        <v>54.7</v>
      </c>
      <c r="C39">
        <f t="shared" si="0"/>
        <v>53.289999999999957</v>
      </c>
    </row>
    <row r="40" spans="1:3" x14ac:dyDescent="0.25">
      <c r="A40" s="1">
        <v>71</v>
      </c>
      <c r="B40">
        <v>54.7</v>
      </c>
      <c r="C40">
        <f t="shared" si="0"/>
        <v>265.68999999999988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TIKIR</dc:creator>
  <cp:lastModifiedBy>VOLKAN TIKIR</cp:lastModifiedBy>
  <dcterms:created xsi:type="dcterms:W3CDTF">2025-10-17T09:07:50Z</dcterms:created>
  <dcterms:modified xsi:type="dcterms:W3CDTF">2025-10-17T10:33:52Z</dcterms:modified>
</cp:coreProperties>
</file>